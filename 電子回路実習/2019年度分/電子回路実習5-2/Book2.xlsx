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urakazuto/Documents/Word/電子回路実習/e電子回路実習5-2/"/>
    </mc:Choice>
  </mc:AlternateContent>
  <xr:revisionPtr revIDLastSave="0" documentId="8_{9054DB5A-038F-D148-8106-3BC0C12A1312}" xr6:coauthVersionLast="43" xr6:coauthVersionMax="43" xr10:uidLastSave="{00000000-0000-0000-0000-000000000000}"/>
  <bookViews>
    <workbookView xWindow="8120" yWindow="2860" windowWidth="23500" windowHeight="17440" activeTab="2" xr2:uid="{A553DF92-E729-D040-AC7A-5312BEA69B62}"/>
  </bookViews>
  <sheets>
    <sheet name="5-2-1" sheetId="2" r:id="rId1"/>
    <sheet name="5-2-2" sheetId="1" r:id="rId2"/>
    <sheet name="5-2-4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" i="3" l="1"/>
  <c r="E11" i="3"/>
  <c r="E10" i="3"/>
  <c r="E9" i="3"/>
  <c r="E8" i="3"/>
  <c r="E7" i="3"/>
  <c r="E6" i="3"/>
  <c r="E5" i="3"/>
  <c r="E4" i="3"/>
  <c r="E3" i="3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<sst xmlns="http://schemas.openxmlformats.org/spreadsheetml/2006/main" count="8" uniqueCount="5">
  <si>
    <t>fc</t>
    <phoneticPr fontId="1"/>
  </si>
  <si>
    <t>Vout[V]</t>
    <phoneticPr fontId="1"/>
  </si>
  <si>
    <t>Vin[mV]</t>
    <phoneticPr fontId="1"/>
  </si>
  <si>
    <t>Vnor</t>
    <phoneticPr fontId="1"/>
  </si>
  <si>
    <t>f[Hz]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</si>
</sst>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182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500"/>
            <c:backward val="600"/>
            <c:dispRSqr val="0"/>
            <c:dispEq val="0"/>
          </c:trendline>
          <c:xVal>
            <c:numRef>
              <c:f>'5-2-2'!$B$3:$B$12</c:f>
              <c:numCache>
                <c:formatCode>General</c:formatCode>
                <c:ptCount val="10"/>
                <c:pt idx="0">
                  <c:v>7000</c:v>
                </c:pt>
                <c:pt idx="1">
                  <c:v>6300</c:v>
                </c:pt>
                <c:pt idx="2">
                  <c:v>5600</c:v>
                </c:pt>
                <c:pt idx="3">
                  <c:v>4900</c:v>
                </c:pt>
                <c:pt idx="4">
                  <c:v>4200</c:v>
                </c:pt>
                <c:pt idx="5">
                  <c:v>3500</c:v>
                </c:pt>
                <c:pt idx="6">
                  <c:v>2800</c:v>
                </c:pt>
                <c:pt idx="7">
                  <c:v>2100</c:v>
                </c:pt>
                <c:pt idx="8">
                  <c:v>1400</c:v>
                </c:pt>
                <c:pt idx="9">
                  <c:v>700</c:v>
                </c:pt>
              </c:numCache>
            </c:numRef>
          </c:xVal>
          <c:yVal>
            <c:numRef>
              <c:f>'5-2-2'!$E$3:$E$12</c:f>
              <c:numCache>
                <c:formatCode>0.00</c:formatCode>
                <c:ptCount val="10"/>
                <c:pt idx="0">
                  <c:v>3.2407407407407405</c:v>
                </c:pt>
                <c:pt idx="1">
                  <c:v>3.1846153846153844</c:v>
                </c:pt>
                <c:pt idx="2">
                  <c:v>3.1441717791411041</c:v>
                </c:pt>
                <c:pt idx="3">
                  <c:v>3.1039755351681957</c:v>
                </c:pt>
                <c:pt idx="4">
                  <c:v>3.0335365853658534</c:v>
                </c:pt>
                <c:pt idx="5">
                  <c:v>2.9483282674772031</c:v>
                </c:pt>
                <c:pt idx="6">
                  <c:v>2.7727272727272729</c:v>
                </c:pt>
                <c:pt idx="7">
                  <c:v>2.5075075075075075</c:v>
                </c:pt>
                <c:pt idx="8">
                  <c:v>2.0414201183431953</c:v>
                </c:pt>
                <c:pt idx="9">
                  <c:v>1.3095238095238093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E7-5A4A-B31D-1FFE439F5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677567"/>
        <c:axId val="1065864991"/>
      </c:scatterChart>
      <c:valAx>
        <c:axId val="1065677567"/>
        <c:scaling>
          <c:orientation val="minMax"/>
          <c:max val="7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5864991"/>
        <c:crosses val="autoZero"/>
        <c:crossBetween val="midCat"/>
      </c:valAx>
      <c:valAx>
        <c:axId val="10658649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567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300"/>
            <c:dispRSqr val="0"/>
            <c:dispEq val="0"/>
          </c:trendline>
          <c:xVal>
            <c:numRef>
              <c:f>'5-2-4'!$B$3:$B$12</c:f>
              <c:numCache>
                <c:formatCode>General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</c:numCache>
            </c:numRef>
          </c:xVal>
          <c:yVal>
            <c:numRef>
              <c:f>'5-2-4'!$E$3:$E$12</c:f>
              <c:numCache>
                <c:formatCode>0.00</c:formatCode>
                <c:ptCount val="10"/>
                <c:pt idx="0">
                  <c:v>3.1756756756756759</c:v>
                </c:pt>
                <c:pt idx="1">
                  <c:v>2.7441077441077444</c:v>
                </c:pt>
                <c:pt idx="2">
                  <c:v>2.2972972972972969</c:v>
                </c:pt>
                <c:pt idx="3">
                  <c:v>1.8983050847457625</c:v>
                </c:pt>
                <c:pt idx="4">
                  <c:v>1.6216216216216217</c:v>
                </c:pt>
                <c:pt idx="5">
                  <c:v>1.4527027027027026</c:v>
                </c:pt>
                <c:pt idx="6">
                  <c:v>1.25</c:v>
                </c:pt>
                <c:pt idx="7">
                  <c:v>1.1317567567567568</c:v>
                </c:pt>
                <c:pt idx="8">
                  <c:v>1.0304054054054053</c:v>
                </c:pt>
                <c:pt idx="9">
                  <c:v>0.94594594594594583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2-AC4D-A62E-81AA8B838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635215"/>
        <c:axId val="1069366335"/>
      </c:scatterChart>
      <c:valAx>
        <c:axId val="106863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9366335"/>
        <c:crosses val="autoZero"/>
        <c:crossBetween val="midCat"/>
      </c:valAx>
      <c:valAx>
        <c:axId val="106936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863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20</xdr:row>
      <xdr:rowOff>266700</xdr:rowOff>
    </xdr:from>
    <xdr:to>
      <xdr:col>6</xdr:col>
      <xdr:colOff>622300</xdr:colOff>
      <xdr:row>27</xdr:row>
      <xdr:rowOff>342900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71F1017-2EDB-7045-8607-3780F22DF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15</xdr:row>
      <xdr:rowOff>152400</xdr:rowOff>
    </xdr:from>
    <xdr:to>
      <xdr:col>7</xdr:col>
      <xdr:colOff>393700</xdr:colOff>
      <xdr:row>28</xdr:row>
      <xdr:rowOff>63500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E64151E-CFD8-3A4B-8558-FA480D27B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D06C-E136-764A-9188-6C1E3602C49F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307B-C215-6949-9EE6-70E7FF516E73}">
  <dimension ref="A2:E12"/>
  <sheetViews>
    <sheetView topLeftCell="A14" workbookViewId="0">
      <selection activeCell="A2" sqref="A2:E12"/>
    </sheetView>
  </sheetViews>
  <sheetFormatPr baseColWidth="10" defaultColWidth="12.42578125" defaultRowHeight="28" customHeight="1"/>
  <sheetData>
    <row r="2" spans="1:5" ht="28" customHeight="1">
      <c r="A2" s="1"/>
      <c r="B2" s="1" t="s">
        <v>4</v>
      </c>
      <c r="C2" s="1" t="s">
        <v>1</v>
      </c>
      <c r="D2" s="1" t="s">
        <v>2</v>
      </c>
      <c r="E2" s="1" t="s">
        <v>3</v>
      </c>
    </row>
    <row r="3" spans="1:5" ht="28" customHeight="1">
      <c r="A3" s="2">
        <v>1</v>
      </c>
      <c r="B3" s="1">
        <v>7000</v>
      </c>
      <c r="C3" s="3">
        <v>21</v>
      </c>
      <c r="D3" s="1">
        <v>648</v>
      </c>
      <c r="E3" s="4">
        <f>C3/D3*100</f>
        <v>3.2407407407407405</v>
      </c>
    </row>
    <row r="4" spans="1:5" ht="28" customHeight="1">
      <c r="A4" s="2">
        <v>0.9</v>
      </c>
      <c r="B4" s="1">
        <v>6300</v>
      </c>
      <c r="C4" s="1">
        <v>20.7</v>
      </c>
      <c r="D4" s="1">
        <v>650</v>
      </c>
      <c r="E4" s="4">
        <f t="shared" ref="E4:E12" si="0">C4/D4*100</f>
        <v>3.1846153846153844</v>
      </c>
    </row>
    <row r="5" spans="1:5" ht="28" customHeight="1">
      <c r="A5" s="2">
        <v>0.8</v>
      </c>
      <c r="B5" s="1">
        <v>5600</v>
      </c>
      <c r="C5" s="1">
        <v>20.5</v>
      </c>
      <c r="D5" s="1">
        <v>652</v>
      </c>
      <c r="E5" s="4">
        <f t="shared" si="0"/>
        <v>3.1441717791411041</v>
      </c>
    </row>
    <row r="6" spans="1:5" ht="28" customHeight="1">
      <c r="A6" s="2">
        <v>0.7</v>
      </c>
      <c r="B6" s="1">
        <v>4900</v>
      </c>
      <c r="C6" s="1">
        <v>20.3</v>
      </c>
      <c r="D6" s="1">
        <v>654</v>
      </c>
      <c r="E6" s="4">
        <f t="shared" si="0"/>
        <v>3.1039755351681957</v>
      </c>
    </row>
    <row r="7" spans="1:5" ht="28" customHeight="1">
      <c r="A7" s="2">
        <v>0.6</v>
      </c>
      <c r="B7" s="1">
        <v>4200</v>
      </c>
      <c r="C7" s="1">
        <v>19.899999999999999</v>
      </c>
      <c r="D7" s="1">
        <v>656</v>
      </c>
      <c r="E7" s="4">
        <f t="shared" si="0"/>
        <v>3.0335365853658534</v>
      </c>
    </row>
    <row r="8" spans="1:5" ht="28" customHeight="1">
      <c r="A8" s="2">
        <v>0.5</v>
      </c>
      <c r="B8" s="1">
        <v>3500</v>
      </c>
      <c r="C8" s="1">
        <v>19.399999999999999</v>
      </c>
      <c r="D8" s="1">
        <v>658</v>
      </c>
      <c r="E8" s="4">
        <f t="shared" si="0"/>
        <v>2.9483282674772031</v>
      </c>
    </row>
    <row r="9" spans="1:5" ht="28" customHeight="1">
      <c r="A9" s="2">
        <v>0.4</v>
      </c>
      <c r="B9" s="1">
        <v>2800</v>
      </c>
      <c r="C9" s="1">
        <v>18.3</v>
      </c>
      <c r="D9" s="1">
        <v>660</v>
      </c>
      <c r="E9" s="4">
        <f t="shared" si="0"/>
        <v>2.7727272727272729</v>
      </c>
    </row>
    <row r="10" spans="1:5" ht="28" customHeight="1">
      <c r="A10" s="2">
        <v>0.3</v>
      </c>
      <c r="B10" s="1">
        <v>2100</v>
      </c>
      <c r="C10" s="1">
        <v>16.7</v>
      </c>
      <c r="D10" s="1">
        <v>666</v>
      </c>
      <c r="E10" s="4">
        <f t="shared" si="0"/>
        <v>2.5075075075075075</v>
      </c>
    </row>
    <row r="11" spans="1:5" ht="28" customHeight="1">
      <c r="A11" s="2">
        <v>0.2</v>
      </c>
      <c r="B11" s="1">
        <v>1400</v>
      </c>
      <c r="C11" s="1">
        <v>13.8</v>
      </c>
      <c r="D11" s="1">
        <v>676</v>
      </c>
      <c r="E11" s="4">
        <f t="shared" si="0"/>
        <v>2.0414201183431953</v>
      </c>
    </row>
    <row r="12" spans="1:5" ht="28" customHeight="1">
      <c r="A12" s="2">
        <v>0.1</v>
      </c>
      <c r="B12" s="1">
        <v>700</v>
      </c>
      <c r="C12" s="4">
        <v>6.6</v>
      </c>
      <c r="D12" s="1">
        <v>504</v>
      </c>
      <c r="E12" s="4">
        <f t="shared" si="0"/>
        <v>1.3095238095238093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8F63-140A-F948-B780-A0D6CEF5ADFB}">
  <dimension ref="A2:E12"/>
  <sheetViews>
    <sheetView tabSelected="1" topLeftCell="A6" workbookViewId="0">
      <selection activeCell="A2" sqref="A2:E12"/>
    </sheetView>
  </sheetViews>
  <sheetFormatPr baseColWidth="10" defaultColWidth="12" defaultRowHeight="25" customHeight="1"/>
  <sheetData>
    <row r="2" spans="1:5" ht="25" customHeight="1">
      <c r="A2" s="1"/>
      <c r="B2" s="1" t="s">
        <v>0</v>
      </c>
      <c r="C2" s="1" t="s">
        <v>1</v>
      </c>
      <c r="D2" s="1" t="s">
        <v>2</v>
      </c>
      <c r="E2" s="1" t="s">
        <v>3</v>
      </c>
    </row>
    <row r="3" spans="1:5" ht="25" customHeight="1">
      <c r="A3" s="2">
        <v>0.1</v>
      </c>
      <c r="B3" s="1">
        <v>30</v>
      </c>
      <c r="C3" s="1">
        <v>18.8</v>
      </c>
      <c r="D3" s="1">
        <v>592</v>
      </c>
      <c r="E3" s="4">
        <f>C3/D3*100</f>
        <v>3.1756756756756759</v>
      </c>
    </row>
    <row r="4" spans="1:5" ht="25" customHeight="1">
      <c r="A4" s="2">
        <v>0.2</v>
      </c>
      <c r="B4" s="1">
        <v>60</v>
      </c>
      <c r="C4" s="1">
        <v>16.3</v>
      </c>
      <c r="D4" s="1">
        <v>594</v>
      </c>
      <c r="E4" s="4">
        <f t="shared" ref="E4:E12" si="0">C4/D4*100</f>
        <v>2.7441077441077444</v>
      </c>
    </row>
    <row r="5" spans="1:5" ht="25" customHeight="1">
      <c r="A5" s="2">
        <v>0.3</v>
      </c>
      <c r="B5" s="1">
        <v>90</v>
      </c>
      <c r="C5" s="1">
        <v>13.6</v>
      </c>
      <c r="D5" s="1">
        <v>592</v>
      </c>
      <c r="E5" s="4">
        <f t="shared" si="0"/>
        <v>2.2972972972972969</v>
      </c>
    </row>
    <row r="6" spans="1:5" ht="25" customHeight="1">
      <c r="A6" s="2">
        <v>0.4</v>
      </c>
      <c r="B6" s="1">
        <v>120</v>
      </c>
      <c r="C6" s="1">
        <v>11.2</v>
      </c>
      <c r="D6" s="1">
        <v>590</v>
      </c>
      <c r="E6" s="4">
        <f t="shared" si="0"/>
        <v>1.8983050847457625</v>
      </c>
    </row>
    <row r="7" spans="1:5" ht="25" customHeight="1">
      <c r="A7" s="2">
        <v>0.5</v>
      </c>
      <c r="B7" s="1">
        <v>150</v>
      </c>
      <c r="C7" s="1">
        <v>9.6</v>
      </c>
      <c r="D7" s="1">
        <v>592</v>
      </c>
      <c r="E7" s="4">
        <f t="shared" si="0"/>
        <v>1.6216216216216217</v>
      </c>
    </row>
    <row r="8" spans="1:5" ht="25" customHeight="1">
      <c r="A8" s="2">
        <v>0.6</v>
      </c>
      <c r="B8" s="1">
        <v>180</v>
      </c>
      <c r="C8" s="1">
        <v>8.6</v>
      </c>
      <c r="D8" s="1">
        <v>592</v>
      </c>
      <c r="E8" s="4">
        <f t="shared" si="0"/>
        <v>1.4527027027027026</v>
      </c>
    </row>
    <row r="9" spans="1:5" ht="25" customHeight="1">
      <c r="A9" s="2">
        <v>0.7</v>
      </c>
      <c r="B9" s="1">
        <v>210</v>
      </c>
      <c r="C9" s="1">
        <v>7.4</v>
      </c>
      <c r="D9" s="1">
        <v>592</v>
      </c>
      <c r="E9" s="4">
        <f t="shared" si="0"/>
        <v>1.25</v>
      </c>
    </row>
    <row r="10" spans="1:5" ht="25" customHeight="1">
      <c r="A10" s="2">
        <v>0.8</v>
      </c>
      <c r="B10" s="1">
        <v>240</v>
      </c>
      <c r="C10" s="1">
        <v>6.7</v>
      </c>
      <c r="D10" s="1">
        <v>592</v>
      </c>
      <c r="E10" s="4">
        <f t="shared" si="0"/>
        <v>1.1317567567567568</v>
      </c>
    </row>
    <row r="11" spans="1:5" ht="25" customHeight="1">
      <c r="A11" s="2">
        <v>0.9</v>
      </c>
      <c r="B11" s="1">
        <v>270</v>
      </c>
      <c r="C11" s="1">
        <v>6.1</v>
      </c>
      <c r="D11" s="1">
        <v>592</v>
      </c>
      <c r="E11" s="4">
        <f t="shared" si="0"/>
        <v>1.0304054054054053</v>
      </c>
    </row>
    <row r="12" spans="1:5" ht="25" customHeight="1">
      <c r="A12" s="2">
        <v>1</v>
      </c>
      <c r="B12" s="1">
        <v>300</v>
      </c>
      <c r="C12" s="1">
        <v>5.6</v>
      </c>
      <c r="D12" s="1">
        <v>592</v>
      </c>
      <c r="E12" s="4">
        <f t="shared" si="0"/>
        <v>0.94594594594594583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5-2-1</vt:lpstr>
      <vt:lpstr>5-2-2</vt:lpstr>
      <vt:lpstr>5-2-4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2020-01-26T23:32:42Z</dcterms:created>
  <dcterms:modified xsi:type="dcterms:W3CDTF">2020-01-29T08:35:55Z</dcterms:modified>
</cp:coreProperties>
</file>