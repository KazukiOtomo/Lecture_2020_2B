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urakazuto/Documents/Word/電子回路実習/電子回路実習5-1/"/>
    </mc:Choice>
  </mc:AlternateContent>
  <xr:revisionPtr revIDLastSave="0" documentId="13_ncr:1_{62D8BC1F-E05B-0149-9043-76DE6D13B8FC}" xr6:coauthVersionLast="43" xr6:coauthVersionMax="43" xr10:uidLastSave="{00000000-0000-0000-0000-000000000000}"/>
  <bookViews>
    <workbookView xWindow="15020" yWindow="1860" windowWidth="28300" windowHeight="17440" activeTab="3" xr2:uid="{8D15DA36-1336-3D42-965D-7A773ABE4999}"/>
  </bookViews>
  <sheets>
    <sheet name="5-1-1" sheetId="1" r:id="rId1"/>
    <sheet name="5-1-2" sheetId="2" r:id="rId2"/>
    <sheet name="5-1-3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3" l="1"/>
  <c r="D6" i="3"/>
  <c r="D5" i="3"/>
  <c r="D4" i="3"/>
  <c r="D3" i="3"/>
  <c r="F3" i="2"/>
  <c r="F4" i="2"/>
  <c r="F5" i="2"/>
  <c r="F6" i="2"/>
  <c r="F7" i="2"/>
  <c r="F8" i="2"/>
  <c r="B4" i="2"/>
  <c r="B5" i="2"/>
  <c r="B6" i="2"/>
  <c r="B7" i="2"/>
  <c r="B8" i="2"/>
  <c r="B3" i="2"/>
  <c r="D7" i="1" l="1"/>
  <c r="D4" i="1"/>
  <c r="D5" i="1"/>
  <c r="D6" i="1"/>
  <c r="D3" i="1"/>
</calcChain>
</file>

<file path=xl/sharedStrings.xml><?xml version="1.0" encoding="utf-8"?>
<sst xmlns="http://schemas.openxmlformats.org/spreadsheetml/2006/main" count="13" uniqueCount="7">
  <si>
    <t>A</t>
    <phoneticPr fontId="1"/>
  </si>
  <si>
    <t>Vin[V]</t>
    <phoneticPr fontId="1"/>
  </si>
  <si>
    <t>Vout[V]</t>
    <phoneticPr fontId="1"/>
  </si>
  <si>
    <t>T</t>
    <phoneticPr fontId="1"/>
  </si>
  <si>
    <t>f</t>
    <phoneticPr fontId="1"/>
  </si>
  <si>
    <t>Vin</t>
    <phoneticPr fontId="1"/>
  </si>
  <si>
    <t>Vout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</si>
</sst>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0000"/>
    <numFmt numFmtId="182" formatCode="0.0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2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82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'5-1-1'!$B$3:$B$7</c:f>
              <c:numCache>
                <c:formatCode>General</c:formatCode>
                <c:ptCount val="5"/>
                <c:pt idx="0">
                  <c:v>2.0099999999999998</c:v>
                </c:pt>
                <c:pt idx="1">
                  <c:v>1.03</c:v>
                </c:pt>
                <c:pt idx="2">
                  <c:v>0.02</c:v>
                </c:pt>
                <c:pt idx="3" formatCode="0.00">
                  <c:v>-1</c:v>
                </c:pt>
                <c:pt idx="4" formatCode="0.00">
                  <c:v>-2</c:v>
                </c:pt>
              </c:numCache>
            </c:numRef>
          </c:xVal>
          <c:yVal>
            <c:numRef>
              <c:f>'5-1-1'!$C$3:$C$7</c:f>
              <c:numCache>
                <c:formatCode>General</c:formatCode>
                <c:ptCount val="5"/>
                <c:pt idx="0">
                  <c:v>-4.46</c:v>
                </c:pt>
                <c:pt idx="1">
                  <c:v>-2.2799999999999998</c:v>
                </c:pt>
                <c:pt idx="2">
                  <c:v>-0.04</c:v>
                </c:pt>
                <c:pt idx="3">
                  <c:v>2.2200000000000002</c:v>
                </c:pt>
                <c:pt idx="4">
                  <c:v>4.45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A6-3745-9144-F6DF2345C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264959"/>
        <c:axId val="1051380975"/>
      </c:scatterChart>
      <c:valAx>
        <c:axId val="1051264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1380975"/>
        <c:crosses val="autoZero"/>
        <c:crossBetween val="midCat"/>
      </c:valAx>
      <c:valAx>
        <c:axId val="105138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126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'5-1-2'!$C$3:$C$8</c:f>
              <c:numCache>
                <c:formatCode>General</c:formatCode>
                <c:ptCount val="6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</c:numCache>
            </c:numRef>
          </c:xVal>
          <c:yVal>
            <c:numRef>
              <c:f>'5-1-2'!$F$3:$F$8</c:f>
              <c:numCache>
                <c:formatCode>0.0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10.068493150684931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3F-5A45-9090-F24F775C3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930511"/>
        <c:axId val="1066314335"/>
      </c:scatterChart>
      <c:valAx>
        <c:axId val="106593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6314335"/>
        <c:crosses val="autoZero"/>
        <c:crossBetween val="midCat"/>
      </c:valAx>
      <c:valAx>
        <c:axId val="106631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5930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'5-1-3'!$B$3:$B$7</c:f>
              <c:numCache>
                <c:formatCode>General</c:formatCode>
                <c:ptCount val="5"/>
                <c:pt idx="0">
                  <c:v>2</c:v>
                </c:pt>
                <c:pt idx="1">
                  <c:v>1.03</c:v>
                </c:pt>
                <c:pt idx="2">
                  <c:v>0.04</c:v>
                </c:pt>
                <c:pt idx="3" formatCode="0.00">
                  <c:v>-0.98</c:v>
                </c:pt>
                <c:pt idx="4" formatCode="0.00">
                  <c:v>-1.99</c:v>
                </c:pt>
              </c:numCache>
            </c:numRef>
          </c:xVal>
          <c:yVal>
            <c:numRef>
              <c:f>'5-1-3'!$C$3:$C$7</c:f>
              <c:numCache>
                <c:formatCode>0.00</c:formatCode>
                <c:ptCount val="5"/>
                <c:pt idx="0">
                  <c:v>6.43</c:v>
                </c:pt>
                <c:pt idx="1">
                  <c:v>3.3</c:v>
                </c:pt>
                <c:pt idx="2">
                  <c:v>0.13</c:v>
                </c:pt>
                <c:pt idx="3">
                  <c:v>-3.14</c:v>
                </c:pt>
                <c:pt idx="4">
                  <c:v>-6.4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FB-FE4A-BDA7-063B544F0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964655"/>
        <c:axId val="1065986687"/>
      </c:scatterChart>
      <c:valAx>
        <c:axId val="106596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5986687"/>
        <c:crosses val="autoZero"/>
        <c:crossBetween val="midCat"/>
      </c:valAx>
      <c:valAx>
        <c:axId val="106598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596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Sheet1!$B$3:$B$6</c:f>
              <c:numCache>
                <c:formatCode>General</c:formatCode>
                <c:ptCount val="4"/>
                <c:pt idx="0">
                  <c:v>0.28000000000000003</c:v>
                </c:pt>
                <c:pt idx="1">
                  <c:v>0.37</c:v>
                </c:pt>
                <c:pt idx="2">
                  <c:v>0.42</c:v>
                </c:pt>
                <c:pt idx="3">
                  <c:v>0.52</c:v>
                </c:pt>
              </c:numCache>
            </c:numRef>
          </c:xVal>
          <c:yVal>
            <c:numRef>
              <c:f>Sheet1!$C$3:$C$6</c:f>
              <c:numCache>
                <c:formatCode>General</c:formatCode>
                <c:ptCount val="4"/>
                <c:pt idx="0">
                  <c:v>3.1</c:v>
                </c:pt>
                <c:pt idx="1">
                  <c:v>4.0999999999999996</c:v>
                </c:pt>
                <c:pt idx="2">
                  <c:v>4.5999999999999996</c:v>
                </c:pt>
                <c:pt idx="3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02-B94D-95BB-09451BD1B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485759"/>
        <c:axId val="1011819455"/>
      </c:scatterChart>
      <c:valAx>
        <c:axId val="107048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819455"/>
        <c:crosses val="autoZero"/>
        <c:crossBetween val="midCat"/>
      </c:valAx>
      <c:valAx>
        <c:axId val="101181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7048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539750</xdr:colOff>
      <xdr:row>9</xdr:row>
      <xdr:rowOff>19050</xdr:rowOff>
    </xdr:from>
    <xdr:to>
      <xdr:col>6</xdr:col>
      <xdr:colOff>279400</xdr:colOff>
      <xdr:row>17</xdr:row>
      <xdr:rowOff>279400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B400FCD-1EEB-6D4E-823A-F21F746BC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374650</xdr:colOff>
      <xdr:row>10</xdr:row>
      <xdr:rowOff>228600</xdr:rowOff>
    </xdr:from>
    <xdr:to>
      <xdr:col>6</xdr:col>
      <xdr:colOff>57150</xdr:colOff>
      <xdr:row>18</xdr:row>
      <xdr:rowOff>158750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BC94528-5A7B-4B4C-BB73-7A0CFA0EF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8</xdr:row>
      <xdr:rowOff>50800</xdr:rowOff>
    </xdr:from>
    <xdr:to>
      <xdr:col>6</xdr:col>
      <xdr:colOff>762000</xdr:colOff>
      <xdr:row>19</xdr:row>
      <xdr:rowOff>63500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B3C06AE-366A-BD44-847D-5979270AE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393700</xdr:colOff>
      <xdr:row>9</xdr:row>
      <xdr:rowOff>260350</xdr:rowOff>
    </xdr:from>
    <xdr:to>
      <xdr:col>5</xdr:col>
      <xdr:colOff>1155700</xdr:colOff>
      <xdr:row>16</xdr:row>
      <xdr:rowOff>336550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6285650-1426-D54D-92A5-B1A4DE2D3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95181-343B-4440-AEDB-76E6D4230947}">
  <dimension ref="B2:D7"/>
  <sheetViews>
    <sheetView workbookViewId="0">
      <selection activeCell="B2" sqref="B2:D7"/>
    </sheetView>
  </sheetViews>
  <sheetFormatPr baseColWidth="10" defaultColWidth="14" defaultRowHeight="29" customHeight="1"/>
  <sheetData>
    <row r="2" spans="2:4" ht="29" customHeight="1">
      <c r="B2" s="1" t="s">
        <v>1</v>
      </c>
      <c r="C2" s="1" t="s">
        <v>2</v>
      </c>
      <c r="D2" s="1" t="s">
        <v>0</v>
      </c>
    </row>
    <row r="3" spans="2:4" ht="29" customHeight="1">
      <c r="B3" s="1">
        <v>2.0099999999999998</v>
      </c>
      <c r="C3" s="1">
        <v>-4.46</v>
      </c>
      <c r="D3" s="2">
        <f>(C3/B3)</f>
        <v>-2.2189054726368163</v>
      </c>
    </row>
    <row r="4" spans="2:4" ht="29" customHeight="1">
      <c r="B4" s="1">
        <v>1.03</v>
      </c>
      <c r="C4" s="1">
        <v>-2.2799999999999998</v>
      </c>
      <c r="D4" s="2">
        <f t="shared" ref="D4:D6" si="0">(C4/B4)</f>
        <v>-2.2135922330097086</v>
      </c>
    </row>
    <row r="5" spans="2:4" ht="29" customHeight="1">
      <c r="B5" s="1">
        <v>0.02</v>
      </c>
      <c r="C5" s="1">
        <v>-0.04</v>
      </c>
      <c r="D5" s="2">
        <f t="shared" si="0"/>
        <v>-2</v>
      </c>
    </row>
    <row r="6" spans="2:4" ht="29" customHeight="1">
      <c r="B6" s="2">
        <v>-1</v>
      </c>
      <c r="C6" s="1">
        <v>2.2200000000000002</v>
      </c>
      <c r="D6" s="2">
        <f t="shared" si="0"/>
        <v>-2.2200000000000002</v>
      </c>
    </row>
    <row r="7" spans="2:4" ht="29" customHeight="1">
      <c r="B7" s="2">
        <v>-2</v>
      </c>
      <c r="C7" s="1">
        <v>4.45</v>
      </c>
      <c r="D7" s="2">
        <f>(C7/B7)</f>
        <v>-2.2250000000000001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0EFB-DF53-4E4D-9126-053C8D35891C}">
  <dimension ref="B2:F8"/>
  <sheetViews>
    <sheetView workbookViewId="0">
      <selection activeCell="C2" sqref="C2:F8"/>
    </sheetView>
  </sheetViews>
  <sheetFormatPr baseColWidth="10" defaultColWidth="12.28515625" defaultRowHeight="29" customHeight="1"/>
  <sheetData>
    <row r="2" spans="2:6" ht="29" customHeight="1">
      <c r="B2" t="s">
        <v>3</v>
      </c>
      <c r="C2" s="1" t="s">
        <v>4</v>
      </c>
      <c r="D2" s="1" t="s">
        <v>5</v>
      </c>
      <c r="E2" s="1" t="s">
        <v>6</v>
      </c>
      <c r="F2" s="1" t="s">
        <v>0</v>
      </c>
    </row>
    <row r="3" spans="2:6" ht="29" customHeight="1">
      <c r="B3" s="3">
        <f>1/C3</f>
        <v>5.0000000000000001E-3</v>
      </c>
      <c r="C3" s="1">
        <v>200</v>
      </c>
      <c r="D3" s="1">
        <v>0.15</v>
      </c>
      <c r="E3" s="1">
        <v>1.5</v>
      </c>
      <c r="F3" s="4">
        <f>E3/D3</f>
        <v>10</v>
      </c>
    </row>
    <row r="4" spans="2:6" ht="29" customHeight="1">
      <c r="B4" s="3">
        <f t="shared" ref="B4:B8" si="0">1/C4</f>
        <v>3.3333333333333335E-3</v>
      </c>
      <c r="C4" s="1">
        <v>300</v>
      </c>
      <c r="D4" s="1">
        <v>0.14899999999999999</v>
      </c>
      <c r="E4" s="1">
        <v>1.49</v>
      </c>
      <c r="F4" s="4">
        <f t="shared" ref="F4:F8" si="1">E4/D4</f>
        <v>10</v>
      </c>
    </row>
    <row r="5" spans="2:6" ht="29" customHeight="1">
      <c r="B5" s="3">
        <f t="shared" si="0"/>
        <v>2.5000000000000001E-3</v>
      </c>
      <c r="C5" s="1">
        <v>400</v>
      </c>
      <c r="D5" s="1">
        <v>0.14799999999999999</v>
      </c>
      <c r="E5" s="1">
        <v>1.48</v>
      </c>
      <c r="F5" s="4">
        <f t="shared" si="1"/>
        <v>10</v>
      </c>
    </row>
    <row r="6" spans="2:6" ht="29" customHeight="1">
      <c r="B6" s="3">
        <f t="shared" si="0"/>
        <v>2E-3</v>
      </c>
      <c r="C6" s="1">
        <v>500</v>
      </c>
      <c r="D6" s="1">
        <v>0.14799999999999999</v>
      </c>
      <c r="E6" s="1">
        <v>1.48</v>
      </c>
      <c r="F6" s="4">
        <f t="shared" si="1"/>
        <v>10</v>
      </c>
    </row>
    <row r="7" spans="2:6" ht="29" customHeight="1">
      <c r="B7" s="3">
        <f t="shared" si="0"/>
        <v>1.6666666666666668E-3</v>
      </c>
      <c r="C7" s="1">
        <v>600</v>
      </c>
      <c r="D7" s="1">
        <v>0.14699999999999999</v>
      </c>
      <c r="E7" s="1">
        <v>1.47</v>
      </c>
      <c r="F7" s="4">
        <f t="shared" si="1"/>
        <v>10</v>
      </c>
    </row>
    <row r="8" spans="2:6" ht="29" customHeight="1">
      <c r="B8" s="3">
        <f t="shared" si="0"/>
        <v>1.4285714285714286E-3</v>
      </c>
      <c r="C8" s="1">
        <v>700</v>
      </c>
      <c r="D8" s="1">
        <v>0.14599999999999999</v>
      </c>
      <c r="E8" s="1">
        <v>1.47</v>
      </c>
      <c r="F8" s="4">
        <f t="shared" si="1"/>
        <v>10.068493150684931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35146-3B8E-C744-AC12-73B0A1EAFC69}">
  <dimension ref="B2:D7"/>
  <sheetViews>
    <sheetView workbookViewId="0">
      <selection activeCell="B2" sqref="B2:D7"/>
    </sheetView>
  </sheetViews>
  <sheetFormatPr baseColWidth="10" defaultColWidth="13" defaultRowHeight="28" customHeight="1"/>
  <sheetData>
    <row r="2" spans="2:4" ht="28" customHeight="1">
      <c r="B2" s="1" t="s">
        <v>1</v>
      </c>
      <c r="C2" s="1" t="s">
        <v>2</v>
      </c>
      <c r="D2" s="1" t="s">
        <v>0</v>
      </c>
    </row>
    <row r="3" spans="2:4" ht="28" customHeight="1">
      <c r="B3" s="1">
        <v>2</v>
      </c>
      <c r="C3" s="2">
        <v>6.43</v>
      </c>
      <c r="D3" s="2">
        <f>(C3/B3)</f>
        <v>3.2149999999999999</v>
      </c>
    </row>
    <row r="4" spans="2:4" ht="28" customHeight="1">
      <c r="B4" s="1">
        <v>1.03</v>
      </c>
      <c r="C4" s="2">
        <v>3.3</v>
      </c>
      <c r="D4" s="2">
        <f t="shared" ref="D4:D6" si="0">(C4/B4)</f>
        <v>3.203883495145631</v>
      </c>
    </row>
    <row r="5" spans="2:4" ht="28" customHeight="1">
      <c r="B5" s="1">
        <v>0.04</v>
      </c>
      <c r="C5" s="2">
        <v>0.13</v>
      </c>
      <c r="D5" s="2">
        <f t="shared" si="0"/>
        <v>3.25</v>
      </c>
    </row>
    <row r="6" spans="2:4" ht="28" customHeight="1">
      <c r="B6" s="2">
        <v>-0.98</v>
      </c>
      <c r="C6" s="2">
        <v>-3.14</v>
      </c>
      <c r="D6" s="2">
        <f t="shared" si="0"/>
        <v>3.2040816326530615</v>
      </c>
    </row>
    <row r="7" spans="2:4" ht="28" customHeight="1">
      <c r="B7" s="2">
        <v>-1.99</v>
      </c>
      <c r="C7" s="2">
        <v>-6.4</v>
      </c>
      <c r="D7" s="2">
        <f>(C7/B7)</f>
        <v>3.2160804020100504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4ADF-C461-3445-BA6F-B3F803E8C639}">
  <dimension ref="B2:C6"/>
  <sheetViews>
    <sheetView tabSelected="1" workbookViewId="0">
      <selection activeCell="B2" sqref="B2:C6"/>
    </sheetView>
  </sheetViews>
  <sheetFormatPr baseColWidth="10" defaultColWidth="14.28515625" defaultRowHeight="30" customHeight="1"/>
  <sheetData>
    <row r="2" spans="2:3" ht="30" customHeight="1">
      <c r="B2" s="1" t="s">
        <v>1</v>
      </c>
      <c r="C2" s="1" t="s">
        <v>2</v>
      </c>
    </row>
    <row r="3" spans="2:3" ht="30" customHeight="1">
      <c r="B3" s="1">
        <v>0.28000000000000003</v>
      </c>
      <c r="C3" s="1">
        <v>3.1</v>
      </c>
    </row>
    <row r="4" spans="2:3" ht="30" customHeight="1">
      <c r="B4" s="1">
        <v>0.37</v>
      </c>
      <c r="C4" s="1">
        <v>4.0999999999999996</v>
      </c>
    </row>
    <row r="5" spans="2:3" ht="30" customHeight="1">
      <c r="B5" s="1">
        <v>0.42</v>
      </c>
      <c r="C5" s="1">
        <v>4.5999999999999996</v>
      </c>
    </row>
    <row r="6" spans="2:3" ht="30" customHeight="1">
      <c r="B6" s="1">
        <v>0.52</v>
      </c>
      <c r="C6" s="1">
        <v>5.7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5-1-1</vt:lpstr>
      <vt:lpstr>5-1-2</vt:lpstr>
      <vt:lpstr>5-1-3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2020-01-26T08:03:55Z</dcterms:created>
  <dcterms:modified xsi:type="dcterms:W3CDTF">2020-01-29T12:51:17Z</dcterms:modified>
</cp:coreProperties>
</file>