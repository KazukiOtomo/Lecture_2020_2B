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ki.o\Desktop\"/>
    </mc:Choice>
  </mc:AlternateContent>
  <xr:revisionPtr revIDLastSave="0" documentId="13_ncr:1_{1EE403C0-3FCF-4BAC-A4AD-44484EE5DE63}" xr6:coauthVersionLast="45" xr6:coauthVersionMax="45" xr10:uidLastSave="{00000000-0000-0000-0000-000000000000}"/>
  <bookViews>
    <workbookView xWindow="-110" yWindow="-110" windowWidth="19420" windowHeight="10420" xr2:uid="{506693B2-AF04-41D8-A5A0-5C4ED7F0F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" i="1" l="1"/>
  <c r="J31" i="1"/>
  <c r="J30" i="1"/>
  <c r="J29" i="1"/>
  <c r="K29" i="1" s="1"/>
  <c r="K30" i="1"/>
  <c r="K28" i="1"/>
  <c r="I28" i="1"/>
  <c r="H28" i="1"/>
</calcChain>
</file>

<file path=xl/sharedStrings.xml><?xml version="1.0" encoding="utf-8"?>
<sst xmlns="http://schemas.openxmlformats.org/spreadsheetml/2006/main" count="11" uniqueCount="8">
  <si>
    <t>周波数[Hz]</t>
    <rPh sb="0" eb="3">
      <t>シュウハスウ</t>
    </rPh>
    <phoneticPr fontId="1"/>
  </si>
  <si>
    <t>電圧[V]</t>
    <rPh sb="0" eb="2">
      <t>デンアツ</t>
    </rPh>
    <phoneticPr fontId="1"/>
  </si>
  <si>
    <t>抵抗側</t>
    <rPh sb="0" eb="2">
      <t>テイコウ</t>
    </rPh>
    <rPh sb="2" eb="3">
      <t>ガワ</t>
    </rPh>
    <phoneticPr fontId="1"/>
  </si>
  <si>
    <t>コンデンサ側</t>
    <rPh sb="5" eb="6">
      <t>ガワ</t>
    </rPh>
    <phoneticPr fontId="1"/>
  </si>
  <si>
    <t>静電容量[F]</t>
    <rPh sb="0" eb="2">
      <t>セイデン</t>
    </rPh>
    <rPh sb="2" eb="4">
      <t>ヨウリョウ</t>
    </rPh>
    <phoneticPr fontId="1"/>
  </si>
  <si>
    <t>抵抗[Ω]</t>
    <rPh sb="0" eb="2">
      <t>テイコウ</t>
    </rPh>
    <phoneticPr fontId="1"/>
  </si>
  <si>
    <t>時間変化[s]</t>
    <rPh sb="0" eb="2">
      <t>ジカン</t>
    </rPh>
    <rPh sb="2" eb="4">
      <t>ヘンカ</t>
    </rPh>
    <phoneticPr fontId="1"/>
  </si>
  <si>
    <t>数値</t>
    <rPh sb="0" eb="2">
      <t>スウチ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</si>
</sst>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2" xfId="0" applyBorder="1">
      <alignment vertical="center"/>
    </xf>
    <xf numFmtId="1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コンデンサ側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Sheet1!$D$5:$D$22</c:f>
              <c:numCache>
                <c:formatCode>General</c:formatCode>
                <c:ptCount val="1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300</c:v>
                </c:pt>
                <c:pt idx="6">
                  <c:v>600</c:v>
                </c:pt>
                <c:pt idx="7">
                  <c:v>900</c:v>
                </c:pt>
                <c:pt idx="8">
                  <c:v>1200</c:v>
                </c:pt>
                <c:pt idx="9">
                  <c:v>1500</c:v>
                </c:pt>
                <c:pt idx="10">
                  <c:v>1800</c:v>
                </c:pt>
                <c:pt idx="11">
                  <c:v>2100</c:v>
                </c:pt>
                <c:pt idx="12">
                  <c:v>2400</c:v>
                </c:pt>
                <c:pt idx="13">
                  <c:v>2700</c:v>
                </c:pt>
                <c:pt idx="14">
                  <c:v>3000</c:v>
                </c:pt>
                <c:pt idx="15">
                  <c:v>4000</c:v>
                </c:pt>
                <c:pt idx="16">
                  <c:v>7000</c:v>
                </c:pt>
                <c:pt idx="17">
                  <c:v>10000</c:v>
                </c:pt>
              </c:numCache>
            </c:numRef>
          </c:xVal>
          <c:yVal>
            <c:numRef>
              <c:f>Sheet1!$E$5:$E$22</c:f>
              <c:numCache>
                <c:formatCode>General</c:formatCode>
                <c:ptCount val="18"/>
                <c:pt idx="0">
                  <c:v>1.06</c:v>
                </c:pt>
                <c:pt idx="1">
                  <c:v>1.06</c:v>
                </c:pt>
                <c:pt idx="2">
                  <c:v>1.06</c:v>
                </c:pt>
                <c:pt idx="3">
                  <c:v>1.06</c:v>
                </c:pt>
                <c:pt idx="4">
                  <c:v>1.04</c:v>
                </c:pt>
                <c:pt idx="5">
                  <c:v>0.96</c:v>
                </c:pt>
                <c:pt idx="6">
                  <c:v>0.8</c:v>
                </c:pt>
                <c:pt idx="7">
                  <c:v>0.64</c:v>
                </c:pt>
                <c:pt idx="8">
                  <c:v>0.52</c:v>
                </c:pt>
                <c:pt idx="9">
                  <c:v>0.44</c:v>
                </c:pt>
                <c:pt idx="10">
                  <c:v>0.4</c:v>
                </c:pt>
                <c:pt idx="11">
                  <c:v>0.34</c:v>
                </c:pt>
                <c:pt idx="12">
                  <c:v>0.32</c:v>
                </c:pt>
                <c:pt idx="13">
                  <c:v>0.28000000000000003</c:v>
                </c:pt>
                <c:pt idx="14">
                  <c:v>0.26</c:v>
                </c:pt>
                <c:pt idx="15">
                  <c:v>0.18</c:v>
                </c:pt>
                <c:pt idx="16">
                  <c:v>0.14000000000000001</c:v>
                </c:pt>
                <c:pt idx="1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D3-4FD5-99A0-7603FEB055BA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抵抗側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Sheet1!$F$5:$F$22</c:f>
              <c:numCache>
                <c:formatCode>General</c:formatCode>
                <c:ptCount val="1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300</c:v>
                </c:pt>
                <c:pt idx="6">
                  <c:v>600</c:v>
                </c:pt>
                <c:pt idx="7">
                  <c:v>900</c:v>
                </c:pt>
                <c:pt idx="8">
                  <c:v>1200</c:v>
                </c:pt>
                <c:pt idx="9">
                  <c:v>1500</c:v>
                </c:pt>
                <c:pt idx="10">
                  <c:v>1800</c:v>
                </c:pt>
                <c:pt idx="11">
                  <c:v>2100</c:v>
                </c:pt>
                <c:pt idx="12">
                  <c:v>2400</c:v>
                </c:pt>
                <c:pt idx="13">
                  <c:v>2700</c:v>
                </c:pt>
                <c:pt idx="14">
                  <c:v>3000</c:v>
                </c:pt>
                <c:pt idx="15">
                  <c:v>4000</c:v>
                </c:pt>
                <c:pt idx="16">
                  <c:v>7000</c:v>
                </c:pt>
                <c:pt idx="17">
                  <c:v>10000</c:v>
                </c:pt>
              </c:numCache>
            </c:numRef>
          </c:xVal>
          <c:yVal>
            <c:numRef>
              <c:f>Sheet1!$G$5:$G$22</c:f>
              <c:numCache>
                <c:formatCode>General</c:formatCode>
                <c:ptCount val="18"/>
                <c:pt idx="0">
                  <c:v>0.15</c:v>
                </c:pt>
                <c:pt idx="1">
                  <c:v>0.18</c:v>
                </c:pt>
                <c:pt idx="2">
                  <c:v>0.25</c:v>
                </c:pt>
                <c:pt idx="3">
                  <c:v>0.28000000000000003</c:v>
                </c:pt>
                <c:pt idx="4">
                  <c:v>0.32</c:v>
                </c:pt>
                <c:pt idx="5">
                  <c:v>0.44800000000000001</c:v>
                </c:pt>
                <c:pt idx="6">
                  <c:v>0.70399999999999996</c:v>
                </c:pt>
                <c:pt idx="7">
                  <c:v>0.84</c:v>
                </c:pt>
                <c:pt idx="8">
                  <c:v>0.91200000000000003</c:v>
                </c:pt>
                <c:pt idx="9">
                  <c:v>0.95199999999999996</c:v>
                </c:pt>
                <c:pt idx="10">
                  <c:v>0.97599999999999998</c:v>
                </c:pt>
                <c:pt idx="11">
                  <c:v>0.99199999999999999</c:v>
                </c:pt>
                <c:pt idx="12">
                  <c:v>1.01</c:v>
                </c:pt>
                <c:pt idx="13">
                  <c:v>1.01</c:v>
                </c:pt>
                <c:pt idx="14">
                  <c:v>1.01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D3-4FD5-99A0-7603FEB05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895584"/>
        <c:axId val="486499328"/>
      </c:scatterChart>
      <c:valAx>
        <c:axId val="58189558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周波数</a:t>
                </a:r>
                <a:r>
                  <a:rPr lang="en-US" altLang="ja-JP"/>
                  <a:t>[Hz]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86499328"/>
        <c:crosses val="autoZero"/>
        <c:crossBetween val="midCat"/>
      </c:valAx>
      <c:valAx>
        <c:axId val="48649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189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279400</xdr:colOff>
      <xdr:row>6</xdr:row>
      <xdr:rowOff>98424</xdr:rowOff>
    </xdr:from>
    <xdr:to>
      <xdr:col>16</xdr:col>
      <xdr:colOff>387350</xdr:colOff>
      <xdr:row>20</xdr:row>
      <xdr:rowOff>50799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43937B2-D1CF-435F-8691-203087CE9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22CA-FD11-448D-AB73-5EAEC5443F4E}">
  <dimension ref="D3:K31"/>
  <sheetViews>
    <sheetView tabSelected="1" topLeftCell="B7" zoomScale="99" workbookViewId="0">
      <selection activeCell="D3" sqref="D3:G22"/>
    </sheetView>
  </sheetViews>
  <sheetFormatPr defaultRowHeight="18" x14ac:dyDescent="0.55000000000000004"/>
  <cols>
    <col min="3" max="3" width="12.33203125" bestFit="1" customWidth="1"/>
    <col min="4" max="4" width="12.4140625" bestFit="1" customWidth="1"/>
    <col min="6" max="6" width="10.4140625" bestFit="1" customWidth="1"/>
    <col min="8" max="8" width="11.25" bestFit="1" customWidth="1"/>
    <col min="10" max="10" width="11.08203125" bestFit="1" customWidth="1"/>
    <col min="11" max="11" width="14.08203125" bestFit="1" customWidth="1"/>
  </cols>
  <sheetData>
    <row r="3" spans="4:7" x14ac:dyDescent="0.55000000000000004">
      <c r="D3" t="s">
        <v>3</v>
      </c>
      <c r="F3" t="s">
        <v>2</v>
      </c>
    </row>
    <row r="4" spans="4:7" x14ac:dyDescent="0.55000000000000004">
      <c r="D4" s="1" t="s">
        <v>0</v>
      </c>
      <c r="E4" s="1" t="s">
        <v>1</v>
      </c>
      <c r="F4" s="1" t="s">
        <v>0</v>
      </c>
      <c r="G4" s="1" t="s">
        <v>1</v>
      </c>
    </row>
    <row r="5" spans="4:7" x14ac:dyDescent="0.55000000000000004">
      <c r="D5" s="1">
        <v>10</v>
      </c>
      <c r="E5" s="1">
        <v>1.06</v>
      </c>
      <c r="F5" s="1">
        <v>10</v>
      </c>
      <c r="G5" s="1">
        <v>0.15</v>
      </c>
    </row>
    <row r="6" spans="4:7" x14ac:dyDescent="0.55000000000000004">
      <c r="D6" s="1">
        <v>30</v>
      </c>
      <c r="E6" s="1">
        <v>1.06</v>
      </c>
      <c r="F6" s="1">
        <v>30</v>
      </c>
      <c r="G6" s="1">
        <v>0.18</v>
      </c>
    </row>
    <row r="7" spans="4:7" x14ac:dyDescent="0.55000000000000004">
      <c r="D7" s="1">
        <v>50</v>
      </c>
      <c r="E7" s="1">
        <v>1.06</v>
      </c>
      <c r="F7" s="1">
        <v>50</v>
      </c>
      <c r="G7" s="1">
        <v>0.25</v>
      </c>
    </row>
    <row r="8" spans="4:7" x14ac:dyDescent="0.55000000000000004">
      <c r="D8" s="1">
        <v>70</v>
      </c>
      <c r="E8" s="1">
        <v>1.06</v>
      </c>
      <c r="F8" s="1">
        <v>70</v>
      </c>
      <c r="G8" s="1">
        <v>0.28000000000000003</v>
      </c>
    </row>
    <row r="9" spans="4:7" x14ac:dyDescent="0.55000000000000004">
      <c r="D9" s="1">
        <v>100</v>
      </c>
      <c r="E9" s="1">
        <v>1.04</v>
      </c>
      <c r="F9" s="1">
        <v>100</v>
      </c>
      <c r="G9" s="1">
        <v>0.32</v>
      </c>
    </row>
    <row r="10" spans="4:7" x14ac:dyDescent="0.55000000000000004">
      <c r="D10" s="1">
        <v>300</v>
      </c>
      <c r="E10" s="1">
        <v>0.96</v>
      </c>
      <c r="F10" s="1">
        <v>300</v>
      </c>
      <c r="G10" s="1">
        <v>0.44800000000000001</v>
      </c>
    </row>
    <row r="11" spans="4:7" x14ac:dyDescent="0.55000000000000004">
      <c r="D11" s="1">
        <v>600</v>
      </c>
      <c r="E11" s="1">
        <v>0.8</v>
      </c>
      <c r="F11" s="1">
        <v>600</v>
      </c>
      <c r="G11" s="1">
        <v>0.70399999999999996</v>
      </c>
    </row>
    <row r="12" spans="4:7" x14ac:dyDescent="0.55000000000000004">
      <c r="D12" s="1">
        <v>900</v>
      </c>
      <c r="E12" s="1">
        <v>0.64</v>
      </c>
      <c r="F12" s="1">
        <v>900</v>
      </c>
      <c r="G12" s="1">
        <v>0.84</v>
      </c>
    </row>
    <row r="13" spans="4:7" x14ac:dyDescent="0.55000000000000004">
      <c r="D13" s="1">
        <v>1200</v>
      </c>
      <c r="E13" s="1">
        <v>0.52</v>
      </c>
      <c r="F13" s="1">
        <v>1200</v>
      </c>
      <c r="G13" s="1">
        <v>0.91200000000000003</v>
      </c>
    </row>
    <row r="14" spans="4:7" x14ac:dyDescent="0.55000000000000004">
      <c r="D14" s="1">
        <v>1500</v>
      </c>
      <c r="E14" s="1">
        <v>0.44</v>
      </c>
      <c r="F14" s="1">
        <v>1500</v>
      </c>
      <c r="G14" s="1">
        <v>0.95199999999999996</v>
      </c>
    </row>
    <row r="15" spans="4:7" x14ac:dyDescent="0.55000000000000004">
      <c r="D15" s="1">
        <v>1800</v>
      </c>
      <c r="E15" s="1">
        <v>0.4</v>
      </c>
      <c r="F15" s="1">
        <v>1800</v>
      </c>
      <c r="G15" s="1">
        <v>0.97599999999999998</v>
      </c>
    </row>
    <row r="16" spans="4:7" x14ac:dyDescent="0.55000000000000004">
      <c r="D16" s="1">
        <v>2100</v>
      </c>
      <c r="E16" s="1">
        <v>0.34</v>
      </c>
      <c r="F16" s="1">
        <v>2100</v>
      </c>
      <c r="G16" s="1">
        <v>0.99199999999999999</v>
      </c>
    </row>
    <row r="17" spans="4:11" x14ac:dyDescent="0.55000000000000004">
      <c r="D17" s="1">
        <v>2400</v>
      </c>
      <c r="E17" s="1">
        <v>0.32</v>
      </c>
      <c r="F17" s="1">
        <v>2400</v>
      </c>
      <c r="G17" s="1">
        <v>1.01</v>
      </c>
    </row>
    <row r="18" spans="4:11" x14ac:dyDescent="0.55000000000000004">
      <c r="D18" s="1">
        <v>2700</v>
      </c>
      <c r="E18" s="1">
        <v>0.28000000000000003</v>
      </c>
      <c r="F18" s="1">
        <v>2700</v>
      </c>
      <c r="G18" s="1">
        <v>1.01</v>
      </c>
    </row>
    <row r="19" spans="4:11" x14ac:dyDescent="0.55000000000000004">
      <c r="D19" s="1">
        <v>3000</v>
      </c>
      <c r="E19" s="1">
        <v>0.26</v>
      </c>
      <c r="F19" s="1">
        <v>3000</v>
      </c>
      <c r="G19" s="1">
        <v>1.01</v>
      </c>
    </row>
    <row r="20" spans="4:11" x14ac:dyDescent="0.55000000000000004">
      <c r="D20" s="2">
        <v>4000</v>
      </c>
      <c r="E20" s="2">
        <v>0.18</v>
      </c>
      <c r="F20" s="2">
        <v>4000</v>
      </c>
      <c r="G20" s="2">
        <v>1.04</v>
      </c>
    </row>
    <row r="21" spans="4:11" x14ac:dyDescent="0.55000000000000004">
      <c r="D21" s="2">
        <v>7000</v>
      </c>
      <c r="E21" s="2">
        <v>0.14000000000000001</v>
      </c>
      <c r="F21" s="2">
        <v>7000</v>
      </c>
      <c r="G21" s="2">
        <v>1.04</v>
      </c>
    </row>
    <row r="22" spans="4:11" x14ac:dyDescent="0.55000000000000004">
      <c r="D22" s="2">
        <v>10000</v>
      </c>
      <c r="E22" s="2">
        <v>0.1</v>
      </c>
      <c r="F22" s="2">
        <v>10000</v>
      </c>
      <c r="G22" s="2">
        <v>1.04</v>
      </c>
    </row>
    <row r="27" spans="4:11" x14ac:dyDescent="0.55000000000000004">
      <c r="G27" s="1" t="s">
        <v>1</v>
      </c>
      <c r="H27" s="1" t="s">
        <v>4</v>
      </c>
      <c r="I27" s="3" t="s">
        <v>5</v>
      </c>
      <c r="J27" s="1" t="s">
        <v>6</v>
      </c>
      <c r="K27" s="1" t="s">
        <v>7</v>
      </c>
    </row>
    <row r="28" spans="4:11" x14ac:dyDescent="0.55000000000000004">
      <c r="G28" s="1">
        <v>5</v>
      </c>
      <c r="H28" s="1">
        <f>13.98*10^(-9)</f>
        <v>1.3980000000000002E-8</v>
      </c>
      <c r="I28" s="3">
        <f>21.49*10^3</f>
        <v>21490</v>
      </c>
      <c r="J28" s="1">
        <v>0</v>
      </c>
      <c r="K28" s="4">
        <f>G28*EXP(-J28/H28*I28)</f>
        <v>5</v>
      </c>
    </row>
    <row r="29" spans="4:11" x14ac:dyDescent="0.55000000000000004">
      <c r="J29" s="1">
        <f>1/5000</f>
        <v>2.0000000000000001E-4</v>
      </c>
      <c r="K29" s="1">
        <f>G28*EXP(-J29/H28*I28)</f>
        <v>0</v>
      </c>
    </row>
    <row r="30" spans="4:11" x14ac:dyDescent="0.55000000000000004">
      <c r="J30" s="1">
        <f>1/3300</f>
        <v>3.0303030303030303E-4</v>
      </c>
      <c r="K30" s="1">
        <f>G28*EXP(-J30/H28*I28)</f>
        <v>0</v>
      </c>
    </row>
    <row r="31" spans="4:11" x14ac:dyDescent="0.55000000000000004">
      <c r="J31" s="1">
        <f>1/1000</f>
        <v>1E-3</v>
      </c>
      <c r="K31" s="1">
        <f>G28*EXP(-J31/H28*I28)</f>
        <v>0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大友一樹</dc:creator>
  <cp:lastModifiedBy>大友一樹</cp:lastModifiedBy>
  <dcterms:created xsi:type="dcterms:W3CDTF">2020-10-12T02:21:23Z</dcterms:created>
  <dcterms:modified xsi:type="dcterms:W3CDTF">2020-10-12T14:03:31Z</dcterms:modified>
</cp:coreProperties>
</file>