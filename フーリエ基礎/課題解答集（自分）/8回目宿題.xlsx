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ki.o\Desktop\"/>
    </mc:Choice>
  </mc:AlternateContent>
  <xr:revisionPtr revIDLastSave="0" documentId="13_ncr:1_{9ED0D1D4-B55B-4C68-B43F-74DE9AFC08F6}" xr6:coauthVersionLast="45" xr6:coauthVersionMax="45" xr10:uidLastSave="{00000000-0000-0000-0000-000000000000}"/>
  <bookViews>
    <workbookView xWindow="-110" yWindow="-110" windowWidth="19420" windowHeight="10420" xr2:uid="{363B67F0-CEAD-4348-AD96-03FC960A9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" i="1" l="1"/>
  <c r="G8" i="1"/>
  <c r="H7" i="1"/>
  <c r="J7" i="1"/>
  <c r="L7" i="1"/>
  <c r="N7" i="1"/>
  <c r="F6" i="1"/>
  <c r="G6" i="1"/>
  <c r="H6" i="1"/>
  <c r="J6" i="1"/>
  <c r="K6" i="1"/>
  <c r="L6" i="1"/>
  <c r="L8" i="1" s="1"/>
  <c r="M6" i="1"/>
  <c r="N6" i="1"/>
  <c r="F5" i="1"/>
  <c r="G5" i="1"/>
  <c r="H5" i="1"/>
  <c r="H8" i="1" s="1"/>
  <c r="J5" i="1"/>
  <c r="K5" i="1"/>
  <c r="L5" i="1"/>
  <c r="M5" i="1"/>
  <c r="N5" i="1"/>
  <c r="E6" i="1"/>
  <c r="E5" i="1"/>
  <c r="D7" i="1"/>
  <c r="D8" i="1" s="1"/>
  <c r="I8" i="1"/>
  <c r="K8" i="1"/>
  <c r="N8" i="1" l="1"/>
  <c r="J8" i="1"/>
  <c r="M8" i="1"/>
  <c r="F8" i="1"/>
  <c r="E8" i="1"/>
  <c r="D6" i="1"/>
  <c r="D5" i="1"/>
  <c r="E4" i="1"/>
  <c r="F4" i="1"/>
  <c r="G4" i="1"/>
  <c r="H4" i="1"/>
  <c r="I4" i="1"/>
  <c r="J4" i="1"/>
  <c r="K4" i="1"/>
  <c r="L4" i="1"/>
  <c r="M4" i="1"/>
  <c r="N4" i="1"/>
  <c r="D4" i="1"/>
</calcChain>
</file>

<file path=xl/sharedStrings.xml><?xml version="1.0" encoding="utf-8"?>
<sst xmlns="http://schemas.openxmlformats.org/spreadsheetml/2006/main" count="5" uniqueCount="5">
  <si>
    <t>π／２</t>
    <phoneticPr fontId="1"/>
  </si>
  <si>
    <t>cosx</t>
    <phoneticPr fontId="1"/>
  </si>
  <si>
    <t>cos3x/9</t>
    <phoneticPr fontId="1"/>
  </si>
  <si>
    <t>cos5x/25</t>
    <phoneticPr fontId="1"/>
  </si>
  <si>
    <t>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</si>
</sst>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フーリエ成分の総和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Sheet1!$C$5</c:f>
              <c:strCache>
                <c:ptCount val="1"/>
                <c:pt idx="0">
                  <c:v>cosx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Sheet1!$D$3:$N$3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  <c:extLst xmlns:c15="http://schemas.microsoft.com/office/drawing/2012/chart"/>
            </c:numRef>
          </c:cat>
          <c:val>
            <c:numRef>
              <c:f>Sheet1!$D$5:$N$5</c:f>
              <c:numCache>
                <c:formatCode>General</c:formatCode>
                <c:ptCount val="11"/>
                <c:pt idx="0">
                  <c:v>1</c:v>
                </c:pt>
                <c:pt idx="1">
                  <c:v>0.95105651629515353</c:v>
                </c:pt>
                <c:pt idx="2">
                  <c:v>0.80901699437494745</c:v>
                </c:pt>
                <c:pt idx="3">
                  <c:v>0.58778525229247314</c:v>
                </c:pt>
                <c:pt idx="4">
                  <c:v>0.30901699437494745</c:v>
                </c:pt>
                <c:pt idx="5">
                  <c:v>0</c:v>
                </c:pt>
                <c:pt idx="6">
                  <c:v>-0.30901699437494734</c:v>
                </c:pt>
                <c:pt idx="7">
                  <c:v>-0.58778525229247303</c:v>
                </c:pt>
                <c:pt idx="8">
                  <c:v>-0.80901699437494734</c:v>
                </c:pt>
                <c:pt idx="9">
                  <c:v>-0.95105651629515353</c:v>
                </c:pt>
                <c:pt idx="10">
                  <c:v>-1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B2F-4C72-AA67-ECBC197D8301}"/>
            </c:ext>
          </c:extLst>
        </c:ser>
        <c:ser>
          <c:idx val="2"/>
          <c:order val="2"/>
          <c:tx>
            <c:strRef>
              <c:f>Sheet1!$C$6</c:f>
              <c:strCache>
                <c:ptCount val="1"/>
                <c:pt idx="0">
                  <c:v>cos3x/9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Sheet1!$D$3:$N$3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  <c:extLst xmlns:c15="http://schemas.microsoft.com/office/drawing/2012/chart"/>
            </c:numRef>
          </c:cat>
          <c:val>
            <c:numRef>
              <c:f>Sheet1!$D$6:$N$6</c:f>
              <c:numCache>
                <c:formatCode>General</c:formatCode>
                <c:ptCount val="11"/>
                <c:pt idx="0">
                  <c:v>0.1111111111111111</c:v>
                </c:pt>
                <c:pt idx="1">
                  <c:v>6.5309472476941466E-2</c:v>
                </c:pt>
                <c:pt idx="2">
                  <c:v>-3.4335221597216373E-2</c:v>
                </c:pt>
                <c:pt idx="3">
                  <c:v>-0.10567294625501705</c:v>
                </c:pt>
                <c:pt idx="4">
                  <c:v>-8.9890777152771953E-2</c:v>
                </c:pt>
                <c:pt idx="5">
                  <c:v>0</c:v>
                </c:pt>
                <c:pt idx="6">
                  <c:v>8.9890777152771925E-2</c:v>
                </c:pt>
                <c:pt idx="7">
                  <c:v>0.10567294625501707</c:v>
                </c:pt>
                <c:pt idx="8">
                  <c:v>3.4335221597216414E-2</c:v>
                </c:pt>
                <c:pt idx="9">
                  <c:v>-6.5309472476941438E-2</c:v>
                </c:pt>
                <c:pt idx="10">
                  <c:v>-0.1111111111111111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B2F-4C72-AA67-ECBC197D8301}"/>
            </c:ext>
          </c:extLst>
        </c:ser>
        <c:ser>
          <c:idx val="3"/>
          <c:order val="3"/>
          <c:tx>
            <c:strRef>
              <c:f>Sheet1!$C$7</c:f>
              <c:strCache>
                <c:ptCount val="1"/>
                <c:pt idx="0">
                  <c:v>cos5x/25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Sheet1!$D$3:$N$3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  <c:extLst xmlns:c15="http://schemas.microsoft.com/office/drawing/2012/chart"/>
            </c:numRef>
          </c:cat>
          <c:val>
            <c:numRef>
              <c:f>Sheet1!$D$7:$N$7</c:f>
              <c:numCache>
                <c:formatCode>General</c:formatCode>
                <c:ptCount val="11"/>
                <c:pt idx="0">
                  <c:v>0.04</c:v>
                </c:pt>
                <c:pt idx="1">
                  <c:v>0</c:v>
                </c:pt>
                <c:pt idx="2">
                  <c:v>-0.04</c:v>
                </c:pt>
                <c:pt idx="3">
                  <c:v>0</c:v>
                </c:pt>
                <c:pt idx="4">
                  <c:v>0.04</c:v>
                </c:pt>
                <c:pt idx="5">
                  <c:v>0</c:v>
                </c:pt>
                <c:pt idx="6">
                  <c:v>-0.04</c:v>
                </c:pt>
                <c:pt idx="7">
                  <c:v>0</c:v>
                </c:pt>
                <c:pt idx="8">
                  <c:v>0.04</c:v>
                </c:pt>
                <c:pt idx="9">
                  <c:v>0</c:v>
                </c:pt>
                <c:pt idx="10">
                  <c:v>-0.04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B2F-4C72-AA67-ECBC197D8301}"/>
            </c:ext>
          </c:extLst>
        </c:ser>
        <c:ser>
          <c:idx val="4"/>
          <c:order val="4"/>
          <c:tx>
            <c:strRef>
              <c:f>Sheet1!$C$8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Sheet1!$D$3:$N$3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Sheet1!$D$8:$N$8</c:f>
              <c:numCache>
                <c:formatCode>General</c:formatCode>
                <c:ptCount val="11"/>
                <c:pt idx="0">
                  <c:v>0.10515613974419802</c:v>
                </c:pt>
                <c:pt idx="1">
                  <c:v>0.27671895796641066</c:v>
                </c:pt>
                <c:pt idx="2">
                  <c:v>0.63537044089815597</c:v>
                </c:pt>
                <c:pt idx="3">
                  <c:v>0.95695187374454649</c:v>
                </c:pt>
                <c:pt idx="4">
                  <c:v>1.2408665799499889</c:v>
                </c:pt>
                <c:pt idx="5">
                  <c:v>1.5707963267948966</c:v>
                </c:pt>
                <c:pt idx="6">
                  <c:v>1.9007260736398042</c:v>
                </c:pt>
                <c:pt idx="7">
                  <c:v>2.1846407798452465</c:v>
                </c:pt>
                <c:pt idx="8">
                  <c:v>2.5062222126916369</c:v>
                </c:pt>
                <c:pt idx="9">
                  <c:v>2.8648736956233822</c:v>
                </c:pt>
                <c:pt idx="10">
                  <c:v>3.0364365138455951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2F-4C72-AA67-ECBC197D8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100368"/>
        <c:axId val="5930224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Sheet1!$C$4</c15:sqref>
                        </c15:formulaRef>
                      </c:ext>
                    </c:extLst>
                    <c:strCache>
                      <c:ptCount val="1"/>
                      <c:pt idx="0">
                        <c:v>π／２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Sheet1!$D$3:$N$3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  <c:pt idx="10">
                        <c:v>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Sheet1!$D$4:$N$4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1.5707963267948966</c:v>
                      </c:pt>
                      <c:pt idx="1">
                        <c:v>1.5707963267948966</c:v>
                      </c:pt>
                      <c:pt idx="2">
                        <c:v>1.5707963267948966</c:v>
                      </c:pt>
                      <c:pt idx="3">
                        <c:v>1.5707963267948966</c:v>
                      </c:pt>
                      <c:pt idx="4">
                        <c:v>1.5707963267948966</c:v>
                      </c:pt>
                      <c:pt idx="5">
                        <c:v>1.5707963267948966</c:v>
                      </c:pt>
                      <c:pt idx="6">
                        <c:v>1.5707963267948966</c:v>
                      </c:pt>
                      <c:pt idx="7">
                        <c:v>1.5707963267948966</c:v>
                      </c:pt>
                      <c:pt idx="8">
                        <c:v>1.5707963267948966</c:v>
                      </c:pt>
                      <c:pt idx="9">
                        <c:v>1.5707963267948966</c:v>
                      </c:pt>
                      <c:pt idx="10">
                        <c:v>1.5707963267948966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B2F-4C72-AA67-ECBC197D8301}"/>
                  </c:ext>
                </c:extLst>
              </c15:ser>
            </c15:filteredLineSeries>
          </c:ext>
        </c:extLst>
      </c:lineChart>
      <c:catAx>
        <c:axId val="75310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3022432"/>
        <c:crosses val="autoZero"/>
        <c:auto val="1"/>
        <c:lblAlgn val="ctr"/>
        <c:lblOffset val="100"/>
        <c:noMultiLvlLbl val="0"/>
      </c:catAx>
      <c:valAx>
        <c:axId val="5930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310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8</xdr:row>
      <xdr:rowOff>107950</xdr:rowOff>
    </xdr:from>
    <xdr:to>
      <xdr:col>13</xdr:col>
      <xdr:colOff>476250</xdr:colOff>
      <xdr:row>25</xdr:row>
      <xdr:rowOff>19050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04F139E-F4B2-4F57-B13C-7F550F37E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2280-062C-4B5C-A120-944E9A9A2413}">
  <dimension ref="C3:N8"/>
  <sheetViews>
    <sheetView tabSelected="1" topLeftCell="B12" workbookViewId="0">
      <selection activeCell="P12" sqref="P12"/>
    </sheetView>
  </sheetViews>
  <sheetFormatPr defaultRowHeight="18" x14ac:dyDescent="0.55000000000000004"/>
  <sheetData>
    <row r="3" spans="3:14" x14ac:dyDescent="0.55000000000000004">
      <c r="C3" s="1"/>
      <c r="D3" s="1">
        <v>0</v>
      </c>
      <c r="E3" s="1">
        <v>0.1</v>
      </c>
      <c r="F3" s="1">
        <v>0.2</v>
      </c>
      <c r="G3" s="1">
        <v>0.3</v>
      </c>
      <c r="H3" s="1">
        <v>0.4</v>
      </c>
      <c r="I3" s="1">
        <v>0.5</v>
      </c>
      <c r="J3" s="1">
        <v>0.6</v>
      </c>
      <c r="K3" s="1">
        <v>0.7</v>
      </c>
      <c r="L3" s="1">
        <v>0.8</v>
      </c>
      <c r="M3" s="1">
        <v>0.9</v>
      </c>
      <c r="N3" s="1">
        <v>1</v>
      </c>
    </row>
    <row r="4" spans="3:14" x14ac:dyDescent="0.55000000000000004">
      <c r="C4" s="1" t="s">
        <v>0</v>
      </c>
      <c r="D4" s="1">
        <f>PI()/2</f>
        <v>1.5707963267948966</v>
      </c>
      <c r="E4" s="1">
        <f t="shared" ref="E4:N4" si="0">PI()/2</f>
        <v>1.5707963267948966</v>
      </c>
      <c r="F4" s="1">
        <f t="shared" si="0"/>
        <v>1.5707963267948966</v>
      </c>
      <c r="G4" s="1">
        <f t="shared" si="0"/>
        <v>1.5707963267948966</v>
      </c>
      <c r="H4" s="1">
        <f t="shared" si="0"/>
        <v>1.5707963267948966</v>
      </c>
      <c r="I4" s="1">
        <f t="shared" si="0"/>
        <v>1.5707963267948966</v>
      </c>
      <c r="J4" s="1">
        <f t="shared" si="0"/>
        <v>1.5707963267948966</v>
      </c>
      <c r="K4" s="1">
        <f t="shared" si="0"/>
        <v>1.5707963267948966</v>
      </c>
      <c r="L4" s="1">
        <f t="shared" si="0"/>
        <v>1.5707963267948966</v>
      </c>
      <c r="M4" s="1">
        <f t="shared" si="0"/>
        <v>1.5707963267948966</v>
      </c>
      <c r="N4" s="1">
        <f t="shared" si="0"/>
        <v>1.5707963267948966</v>
      </c>
    </row>
    <row r="5" spans="3:14" x14ac:dyDescent="0.55000000000000004">
      <c r="C5" s="1" t="s">
        <v>1</v>
      </c>
      <c r="D5" s="1">
        <f t="shared" ref="D5:N5" si="1">COS(D3)</f>
        <v>1</v>
      </c>
      <c r="E5" s="1">
        <f>COS(PI()*E3)</f>
        <v>0.95105651629515353</v>
      </c>
      <c r="F5" s="1">
        <f t="shared" ref="F5:N5" si="2">COS(PI()*F3)</f>
        <v>0.80901699437494745</v>
      </c>
      <c r="G5" s="1">
        <f t="shared" si="2"/>
        <v>0.58778525229247314</v>
      </c>
      <c r="H5" s="1">
        <f t="shared" si="2"/>
        <v>0.30901699437494745</v>
      </c>
      <c r="I5" s="1">
        <v>0</v>
      </c>
      <c r="J5" s="1">
        <f t="shared" si="2"/>
        <v>-0.30901699437494734</v>
      </c>
      <c r="K5" s="1">
        <f t="shared" si="2"/>
        <v>-0.58778525229247303</v>
      </c>
      <c r="L5" s="1">
        <f t="shared" si="2"/>
        <v>-0.80901699437494734</v>
      </c>
      <c r="M5" s="1">
        <f t="shared" si="2"/>
        <v>-0.95105651629515353</v>
      </c>
      <c r="N5" s="1">
        <f t="shared" si="2"/>
        <v>-1</v>
      </c>
    </row>
    <row r="6" spans="3:14" x14ac:dyDescent="0.55000000000000004">
      <c r="C6" s="1" t="s">
        <v>2</v>
      </c>
      <c r="D6" s="1">
        <f>COS(3*0)/9</f>
        <v>0.1111111111111111</v>
      </c>
      <c r="E6" s="1">
        <f>COS(3*PI()*E3)/9</f>
        <v>6.5309472476941466E-2</v>
      </c>
      <c r="F6" s="1">
        <f t="shared" ref="F6:N6" si="3">COS(3*PI()*F3)/9</f>
        <v>-3.4335221597216373E-2</v>
      </c>
      <c r="G6" s="1">
        <f t="shared" si="3"/>
        <v>-0.10567294625501705</v>
      </c>
      <c r="H6" s="1">
        <f t="shared" si="3"/>
        <v>-8.9890777152771953E-2</v>
      </c>
      <c r="I6" s="1">
        <v>0</v>
      </c>
      <c r="J6" s="1">
        <f t="shared" si="3"/>
        <v>8.9890777152771925E-2</v>
      </c>
      <c r="K6" s="1">
        <f t="shared" si="3"/>
        <v>0.10567294625501707</v>
      </c>
      <c r="L6" s="1">
        <f t="shared" si="3"/>
        <v>3.4335221597216414E-2</v>
      </c>
      <c r="M6" s="1">
        <f t="shared" si="3"/>
        <v>-6.5309472476941438E-2</v>
      </c>
      <c r="N6" s="1">
        <f t="shared" si="3"/>
        <v>-0.1111111111111111</v>
      </c>
    </row>
    <row r="7" spans="3:14" x14ac:dyDescent="0.55000000000000004">
      <c r="C7" s="1" t="s">
        <v>3</v>
      </c>
      <c r="D7" s="1">
        <f>(COS(5*D3))/25</f>
        <v>0.04</v>
      </c>
      <c r="E7" s="1">
        <v>0</v>
      </c>
      <c r="F7" s="1">
        <f t="shared" ref="F7:N7" si="4">(COS(5*PI()*F3))/25</f>
        <v>-0.04</v>
      </c>
      <c r="G7" s="1">
        <v>0</v>
      </c>
      <c r="H7" s="1">
        <f t="shared" si="4"/>
        <v>0.04</v>
      </c>
      <c r="I7" s="1">
        <v>0</v>
      </c>
      <c r="J7" s="1">
        <f t="shared" si="4"/>
        <v>-0.04</v>
      </c>
      <c r="K7" s="1">
        <v>0</v>
      </c>
      <c r="L7" s="1">
        <f t="shared" si="4"/>
        <v>0.04</v>
      </c>
      <c r="M7" s="1">
        <v>0</v>
      </c>
      <c r="N7" s="1">
        <f t="shared" si="4"/>
        <v>-0.04</v>
      </c>
    </row>
    <row r="8" spans="3:14" x14ac:dyDescent="0.55000000000000004">
      <c r="C8" s="1" t="s">
        <v>4</v>
      </c>
      <c r="D8" s="1">
        <f>D4+(-4/PI())*SUM(D5:D7)</f>
        <v>0.10515613974419802</v>
      </c>
      <c r="E8" s="1">
        <f t="shared" ref="E8:N8" si="5">E4+(-4/PI())*SUM(E5:E7)</f>
        <v>0.27671895796641066</v>
      </c>
      <c r="F8" s="1">
        <f t="shared" si="5"/>
        <v>0.63537044089815597</v>
      </c>
      <c r="G8" s="1">
        <f t="shared" si="5"/>
        <v>0.95695187374454649</v>
      </c>
      <c r="H8" s="1">
        <f t="shared" si="5"/>
        <v>1.2408665799499889</v>
      </c>
      <c r="I8" s="1">
        <f t="shared" si="5"/>
        <v>1.5707963267948966</v>
      </c>
      <c r="J8" s="1">
        <f t="shared" si="5"/>
        <v>1.9007260736398042</v>
      </c>
      <c r="K8" s="1">
        <f t="shared" si="5"/>
        <v>2.1846407798452465</v>
      </c>
      <c r="L8" s="1">
        <f t="shared" si="5"/>
        <v>2.5062222126916369</v>
      </c>
      <c r="M8" s="1">
        <f t="shared" si="5"/>
        <v>2.8648736956233822</v>
      </c>
      <c r="N8" s="1">
        <f t="shared" si="5"/>
        <v>3.0364365138455951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大友一樹</dc:creator>
  <cp:lastModifiedBy>大友一樹</cp:lastModifiedBy>
  <dcterms:created xsi:type="dcterms:W3CDTF">2020-06-07T13:05:34Z</dcterms:created>
  <dcterms:modified xsi:type="dcterms:W3CDTF">2020-06-09T07:15:37Z</dcterms:modified>
</cp:coreProperties>
</file>