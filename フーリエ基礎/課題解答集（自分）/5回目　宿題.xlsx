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zuki.o\Desktop\"/>
    </mc:Choice>
  </mc:AlternateContent>
  <xr:revisionPtr revIDLastSave="0" documentId="13_ncr:1_{06AA608B-C55D-43DD-A34D-AC9774EF68BA}" xr6:coauthVersionLast="45" xr6:coauthVersionMax="45" xr10:uidLastSave="{00000000-0000-0000-0000-000000000000}"/>
  <bookViews>
    <workbookView xWindow="-110" yWindow="-110" windowWidth="19420" windowHeight="10420" xr2:uid="{A5EF91AE-3171-4E77-A152-FFF6357B6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1" i="1" l="1"/>
  <c r="M11" i="1"/>
  <c r="L11" i="1"/>
  <c r="K11" i="1"/>
  <c r="J11" i="1"/>
  <c r="I11" i="1"/>
  <c r="H11" i="1"/>
  <c r="G11" i="1"/>
  <c r="E11" i="1"/>
  <c r="F11" i="1"/>
  <c r="N10" i="1"/>
  <c r="N9" i="1"/>
  <c r="N8" i="1"/>
  <c r="N7" i="1"/>
  <c r="N6" i="1"/>
  <c r="N5" i="1"/>
  <c r="M10" i="1"/>
  <c r="M9" i="1"/>
  <c r="M7" i="1"/>
  <c r="M6" i="1"/>
  <c r="M5" i="1"/>
  <c r="L10" i="1"/>
  <c r="L9" i="1"/>
  <c r="L8" i="1"/>
  <c r="L7" i="1"/>
  <c r="L6" i="1"/>
  <c r="L5" i="1"/>
  <c r="K10" i="1"/>
  <c r="K9" i="1"/>
  <c r="K7" i="1"/>
  <c r="K6" i="1"/>
  <c r="K5" i="1"/>
  <c r="J10" i="1"/>
  <c r="J8" i="1"/>
  <c r="J6" i="1"/>
  <c r="I10" i="1"/>
  <c r="I9" i="1"/>
  <c r="H10" i="1"/>
  <c r="H9" i="1"/>
  <c r="H8" i="1"/>
  <c r="I7" i="1"/>
  <c r="I6" i="1"/>
  <c r="I5" i="1"/>
  <c r="E10" i="1"/>
  <c r="E9" i="1"/>
  <c r="E8" i="1"/>
  <c r="E7" i="1"/>
  <c r="E5" i="1"/>
  <c r="E6" i="1"/>
  <c r="H7" i="1"/>
  <c r="H6" i="1"/>
  <c r="G10" i="1"/>
  <c r="G9" i="1"/>
  <c r="H5" i="1"/>
  <c r="E4" i="1"/>
  <c r="G7" i="1"/>
  <c r="G6" i="1"/>
  <c r="G5" i="1"/>
  <c r="N4" i="1"/>
  <c r="M4" i="1"/>
  <c r="L4" i="1"/>
  <c r="K4" i="1"/>
  <c r="J4" i="1"/>
  <c r="I4" i="1"/>
  <c r="G4" i="1"/>
  <c r="H4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<sst xmlns="http://schemas.openxmlformats.org/spreadsheetml/2006/main" count="9" uniqueCount="9">
  <si>
    <t>x/π</t>
    <phoneticPr fontId="1"/>
  </si>
  <si>
    <t>sinx</t>
    <phoneticPr fontId="1"/>
  </si>
  <si>
    <t>(sin2x)/(-2)</t>
    <phoneticPr fontId="1"/>
  </si>
  <si>
    <t>(sin3x)/3</t>
    <phoneticPr fontId="1"/>
  </si>
  <si>
    <t>(sin4x)/(-4)</t>
    <phoneticPr fontId="1"/>
  </si>
  <si>
    <t>(sin5x)/5</t>
    <phoneticPr fontId="1"/>
  </si>
  <si>
    <t>(sin6x)/(-6)</t>
    <phoneticPr fontId="1"/>
  </si>
  <si>
    <t>(sin7x)/7</t>
    <phoneticPr fontId="1"/>
  </si>
  <si>
    <t>S7(x)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</si>
</sst>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400"/>
              <a:t>課題　ランプ波形</a:t>
            </a:r>
          </a:p>
        </c:rich>
      </c:tx>
      <c:layout>
        <c:manualLayout>
          <c:xMode val="edge"/>
          <c:yMode val="edge"/>
          <c:x val="0.36473167589769645"/>
          <c:y val="1.36962925492959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5.8363032315084225E-2"/>
          <c:y val="5.1854442708538256E-2"/>
          <c:w val="0.93407554148673788"/>
          <c:h val="0.78554561376698473"/>
        </c:manualLayout>
      </c:layout>
      <c:lineChart>
        <c:grouping val="standar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sinx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Sheet1!$E$3:$O$3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Sheet1!$E$4:$O$4</c:f>
              <c:numCache>
                <c:formatCode>General</c:formatCode>
                <c:ptCount val="11"/>
                <c:pt idx="0">
                  <c:v>0</c:v>
                </c:pt>
                <c:pt idx="1">
                  <c:v>0.3090169943749474</c:v>
                </c:pt>
                <c:pt idx="2">
                  <c:v>0.58778525229247314</c:v>
                </c:pt>
                <c:pt idx="3">
                  <c:v>0.80901699437494745</c:v>
                </c:pt>
                <c:pt idx="4">
                  <c:v>0.95105651629515353</c:v>
                </c:pt>
                <c:pt idx="5">
                  <c:v>1</c:v>
                </c:pt>
                <c:pt idx="6">
                  <c:v>0.95105651629515364</c:v>
                </c:pt>
                <c:pt idx="7">
                  <c:v>0.80901699437494745</c:v>
                </c:pt>
                <c:pt idx="8">
                  <c:v>0.58778525229247325</c:v>
                </c:pt>
                <c:pt idx="9">
                  <c:v>0.30901699437494751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BB-4248-B598-5887865CBFDC}"/>
            </c:ext>
          </c:extLst>
        </c:ser>
        <c:ser>
          <c:idx val="1"/>
          <c:order val="1"/>
          <c:tx>
            <c:strRef>
              <c:f>Sheet1!$D$5</c:f>
              <c:strCache>
                <c:ptCount val="1"/>
                <c:pt idx="0">
                  <c:v>(sin2x)/(-2)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Sheet1!$E$3:$O$3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Sheet1!$E$5:$O$5</c:f>
              <c:numCache>
                <c:formatCode>General</c:formatCode>
                <c:ptCount val="11"/>
                <c:pt idx="0">
                  <c:v>0</c:v>
                </c:pt>
                <c:pt idx="1">
                  <c:v>-0.29389262614623657</c:v>
                </c:pt>
                <c:pt idx="2">
                  <c:v>-0.47552825814757677</c:v>
                </c:pt>
                <c:pt idx="3">
                  <c:v>-0.47552825814757682</c:v>
                </c:pt>
                <c:pt idx="4">
                  <c:v>-0.29389262614623662</c:v>
                </c:pt>
                <c:pt idx="5">
                  <c:v>0</c:v>
                </c:pt>
                <c:pt idx="6">
                  <c:v>0.29389262614623651</c:v>
                </c:pt>
                <c:pt idx="7">
                  <c:v>0.47552825814757677</c:v>
                </c:pt>
                <c:pt idx="8">
                  <c:v>0.47552825814757682</c:v>
                </c:pt>
                <c:pt idx="9">
                  <c:v>0.29389262614623668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7BB-4248-B598-5887865CBFDC}"/>
            </c:ext>
          </c:extLst>
        </c:ser>
        <c:ser>
          <c:idx val="2"/>
          <c:order val="2"/>
          <c:tx>
            <c:strRef>
              <c:f>Sheet1!$D$6</c:f>
              <c:strCache>
                <c:ptCount val="1"/>
                <c:pt idx="0">
                  <c:v>(sin3x)/3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Sheet1!$E$3:$O$3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Sheet1!$E$6:$O$6</c:f>
              <c:numCache>
                <c:formatCode>General</c:formatCode>
                <c:ptCount val="11"/>
                <c:pt idx="0">
                  <c:v>0</c:v>
                </c:pt>
                <c:pt idx="1">
                  <c:v>0.26967233145831582</c:v>
                </c:pt>
                <c:pt idx="2">
                  <c:v>0.31701883876505121</c:v>
                </c:pt>
                <c:pt idx="3">
                  <c:v>0.10300566479164917</c:v>
                </c:pt>
                <c:pt idx="4">
                  <c:v>-0.19592841743082434</c:v>
                </c:pt>
                <c:pt idx="5">
                  <c:v>-0.33333333333333331</c:v>
                </c:pt>
                <c:pt idx="6">
                  <c:v>-0.19592841743082445</c:v>
                </c:pt>
                <c:pt idx="7">
                  <c:v>0.10300566479164906</c:v>
                </c:pt>
                <c:pt idx="8">
                  <c:v>0.31701883876505116</c:v>
                </c:pt>
                <c:pt idx="9">
                  <c:v>0.26967233145831587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7BB-4248-B598-5887865CBFDC}"/>
            </c:ext>
          </c:extLst>
        </c:ser>
        <c:ser>
          <c:idx val="3"/>
          <c:order val="3"/>
          <c:tx>
            <c:strRef>
              <c:f>Sheet1!$D$7</c:f>
              <c:strCache>
                <c:ptCount val="1"/>
                <c:pt idx="0">
                  <c:v>(sin4x)/(-4)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Sheet1!$E$3:$O$3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Sheet1!$E$7:$O$7</c:f>
              <c:numCache>
                <c:formatCode>General</c:formatCode>
                <c:ptCount val="11"/>
                <c:pt idx="0">
                  <c:v>0</c:v>
                </c:pt>
                <c:pt idx="1">
                  <c:v>-0.23776412907378838</c:v>
                </c:pt>
                <c:pt idx="2">
                  <c:v>-0.14694631307311831</c:v>
                </c:pt>
                <c:pt idx="3">
                  <c:v>0.14694631307311826</c:v>
                </c:pt>
                <c:pt idx="4">
                  <c:v>0.23776412907378841</c:v>
                </c:pt>
                <c:pt idx="5">
                  <c:v>0</c:v>
                </c:pt>
                <c:pt idx="6">
                  <c:v>-0.23776412907378838</c:v>
                </c:pt>
                <c:pt idx="7">
                  <c:v>-0.14694631307311834</c:v>
                </c:pt>
                <c:pt idx="8">
                  <c:v>0.1469463130731182</c:v>
                </c:pt>
                <c:pt idx="9">
                  <c:v>0.23776412907378844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7BB-4248-B598-5887865CBFDC}"/>
            </c:ext>
          </c:extLst>
        </c:ser>
        <c:ser>
          <c:idx val="4"/>
          <c:order val="4"/>
          <c:tx>
            <c:strRef>
              <c:f>Sheet1!$D$8</c:f>
              <c:strCache>
                <c:ptCount val="1"/>
                <c:pt idx="0">
                  <c:v>(sin5x)/5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Sheet1!$E$3:$O$3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Sheet1!$E$8:$O$8</c:f>
              <c:numCache>
                <c:formatCode>General</c:formatCode>
                <c:ptCount val="11"/>
                <c:pt idx="0">
                  <c:v>0</c:v>
                </c:pt>
                <c:pt idx="1">
                  <c:v>0.2</c:v>
                </c:pt>
                <c:pt idx="2">
                  <c:v>0</c:v>
                </c:pt>
                <c:pt idx="3">
                  <c:v>-0.2</c:v>
                </c:pt>
                <c:pt idx="4">
                  <c:v>0</c:v>
                </c:pt>
                <c:pt idx="5">
                  <c:v>0.2</c:v>
                </c:pt>
                <c:pt idx="6">
                  <c:v>0</c:v>
                </c:pt>
                <c:pt idx="7">
                  <c:v>-0.2</c:v>
                </c:pt>
                <c:pt idx="8">
                  <c:v>0</c:v>
                </c:pt>
                <c:pt idx="9">
                  <c:v>0.2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7BB-4248-B598-5887865CBFDC}"/>
            </c:ext>
          </c:extLst>
        </c:ser>
        <c:ser>
          <c:idx val="5"/>
          <c:order val="5"/>
          <c:tx>
            <c:strRef>
              <c:f>Sheet1!$D$9</c:f>
              <c:strCache>
                <c:ptCount val="1"/>
                <c:pt idx="0">
                  <c:v>(sin6x)/(-6)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Sheet1!$E$3:$O$3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Sheet1!$E$9:$O$9</c:f>
              <c:numCache>
                <c:formatCode>General</c:formatCode>
                <c:ptCount val="11"/>
                <c:pt idx="0">
                  <c:v>0</c:v>
                </c:pt>
                <c:pt idx="1">
                  <c:v>-0.15850941938252561</c:v>
                </c:pt>
                <c:pt idx="2">
                  <c:v>9.7964208715412171E-2</c:v>
                </c:pt>
                <c:pt idx="3">
                  <c:v>9.7964208715412227E-2</c:v>
                </c:pt>
                <c:pt idx="4">
                  <c:v>-0.15850941938252558</c:v>
                </c:pt>
                <c:pt idx="5">
                  <c:v>0</c:v>
                </c:pt>
                <c:pt idx="6">
                  <c:v>0.15850941938252563</c:v>
                </c:pt>
                <c:pt idx="7">
                  <c:v>-9.7964208715412116E-2</c:v>
                </c:pt>
                <c:pt idx="8">
                  <c:v>-9.7964208715412268E-2</c:v>
                </c:pt>
                <c:pt idx="9">
                  <c:v>0.15850941938252558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7BB-4248-B598-5887865CBFDC}"/>
            </c:ext>
          </c:extLst>
        </c:ser>
        <c:ser>
          <c:idx val="6"/>
          <c:order val="6"/>
          <c:tx>
            <c:strRef>
              <c:f>Sheet1!$D$10</c:f>
              <c:strCache>
                <c:ptCount val="1"/>
                <c:pt idx="0">
                  <c:v>(sin7x)/7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Sheet1!$E$3:$O$3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Sheet1!$E$10:$O$10</c:f>
              <c:numCache>
                <c:formatCode>General</c:formatCode>
                <c:ptCount val="11"/>
                <c:pt idx="0">
                  <c:v>0</c:v>
                </c:pt>
                <c:pt idx="1">
                  <c:v>0.11557385633927821</c:v>
                </c:pt>
                <c:pt idx="2">
                  <c:v>-0.13586521661359335</c:v>
                </c:pt>
                <c:pt idx="3">
                  <c:v>4.4145284910706739E-2</c:v>
                </c:pt>
                <c:pt idx="4">
                  <c:v>8.3969321756067625E-2</c:v>
                </c:pt>
                <c:pt idx="5">
                  <c:v>-0.14285714285714285</c:v>
                </c:pt>
                <c:pt idx="6">
                  <c:v>8.3969321756067528E-2</c:v>
                </c:pt>
                <c:pt idx="7">
                  <c:v>4.4145284910706857E-2</c:v>
                </c:pt>
                <c:pt idx="8">
                  <c:v>-0.13586521661359338</c:v>
                </c:pt>
                <c:pt idx="9">
                  <c:v>0.11557385633927798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7BB-4248-B598-5887865CBFDC}"/>
            </c:ext>
          </c:extLst>
        </c:ser>
        <c:ser>
          <c:idx val="7"/>
          <c:order val="7"/>
          <c:tx>
            <c:strRef>
              <c:f>Sheet1!$D$11</c:f>
              <c:strCache>
                <c:ptCount val="1"/>
                <c:pt idx="0">
                  <c:v>S7(x)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Sheet1!$E$3:$O$3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Sheet1!$E$11:$O$11</c:f>
              <c:numCache>
                <c:formatCode>General</c:formatCode>
                <c:ptCount val="11"/>
                <c:pt idx="0">
                  <c:v>0</c:v>
                </c:pt>
                <c:pt idx="1">
                  <c:v>0.40819401513998177</c:v>
                </c:pt>
                <c:pt idx="2">
                  <c:v>0.48885702387729624</c:v>
                </c:pt>
                <c:pt idx="3">
                  <c:v>1.051100415436514</c:v>
                </c:pt>
                <c:pt idx="4">
                  <c:v>1.2489190083308461</c:v>
                </c:pt>
                <c:pt idx="5">
                  <c:v>1.4476190476190478</c:v>
                </c:pt>
                <c:pt idx="6">
                  <c:v>2.1074706741507407</c:v>
                </c:pt>
                <c:pt idx="7">
                  <c:v>1.9735713608726997</c:v>
                </c:pt>
                <c:pt idx="8">
                  <c:v>2.5868984738984278</c:v>
                </c:pt>
                <c:pt idx="9">
                  <c:v>3.168858713550184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7BB-4248-B598-5887865CB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90079"/>
        <c:axId val="2134041199"/>
      </c:lineChart>
      <c:catAx>
        <c:axId val="83390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600"/>
                  <a:t>ｘの値</a:t>
                </a:r>
              </a:p>
            </c:rich>
          </c:tx>
          <c:layout>
            <c:manualLayout>
              <c:xMode val="edge"/>
              <c:yMode val="edge"/>
              <c:x val="0.44101682940317505"/>
              <c:y val="0.838647387311441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34041199"/>
        <c:crosses val="autoZero"/>
        <c:auto val="1"/>
        <c:lblAlgn val="ctr"/>
        <c:lblOffset val="100"/>
        <c:noMultiLvlLbl val="0"/>
      </c:catAx>
      <c:valAx>
        <c:axId val="2134041199"/>
        <c:scaling>
          <c:orientation val="minMax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600"/>
                  <a:t>計算値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39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8900257177595811E-2"/>
          <c:y val="0.93946665502751425"/>
          <c:w val="0.80191031840899318"/>
          <c:h val="4.6587741507313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28222</xdr:colOff>
      <xdr:row>12</xdr:row>
      <xdr:rowOff>105832</xdr:rowOff>
    </xdr:from>
    <xdr:to>
      <xdr:col>14</xdr:col>
      <xdr:colOff>472721</xdr:colOff>
      <xdr:row>32</xdr:row>
      <xdr:rowOff>190499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5644111-C968-4CF6-BF8A-1CB9528B3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3C188-435B-4469-97FA-A2117D96C0F2}">
  <dimension ref="D3:O11"/>
  <sheetViews>
    <sheetView tabSelected="1" topLeftCell="B1" zoomScale="90" zoomScaleNormal="90" workbookViewId="0">
      <selection activeCell="D16" sqref="D16"/>
    </sheetView>
  </sheetViews>
  <sheetFormatPr defaultRowHeight="18" x14ac:dyDescent="0.55000000000000004"/>
  <cols>
    <col min="4" max="4" width="11.4140625" bestFit="1" customWidth="1"/>
    <col min="6" max="6" width="13.25" bestFit="1" customWidth="1"/>
    <col min="7" max="8" width="12.33203125" bestFit="1" customWidth="1"/>
    <col min="10" max="10" width="13.75" bestFit="1" customWidth="1"/>
    <col min="11" max="11" width="12.9140625" bestFit="1" customWidth="1"/>
    <col min="13" max="13" width="13.75" bestFit="1" customWidth="1"/>
    <col min="15" max="15" width="9.9140625" customWidth="1"/>
  </cols>
  <sheetData>
    <row r="3" spans="4:15" x14ac:dyDescent="0.55000000000000004">
      <c r="D3" s="1" t="s">
        <v>0</v>
      </c>
      <c r="E3" s="1">
        <v>0</v>
      </c>
      <c r="F3" s="1">
        <v>0.1</v>
      </c>
      <c r="G3" s="1">
        <v>0.2</v>
      </c>
      <c r="H3" s="1">
        <v>0.3</v>
      </c>
      <c r="I3" s="1">
        <v>0.4</v>
      </c>
      <c r="J3" s="1">
        <v>0.5</v>
      </c>
      <c r="K3" s="1">
        <v>0.6</v>
      </c>
      <c r="L3" s="1">
        <v>0.7</v>
      </c>
      <c r="M3" s="1">
        <v>0.8</v>
      </c>
      <c r="N3" s="1">
        <v>0.9</v>
      </c>
      <c r="O3" s="1">
        <v>1</v>
      </c>
    </row>
    <row r="4" spans="4:15" x14ac:dyDescent="0.55000000000000004">
      <c r="D4" s="1" t="s">
        <v>1</v>
      </c>
      <c r="E4" s="1">
        <f>SIN(0*PI())</f>
        <v>0</v>
      </c>
      <c r="F4" s="1">
        <f>SIN(0.1*PI())</f>
        <v>0.3090169943749474</v>
      </c>
      <c r="G4" s="1">
        <f>SIN(0.2*PI())</f>
        <v>0.58778525229247314</v>
      </c>
      <c r="H4" s="1">
        <f>SIN(0.3*PI())</f>
        <v>0.80901699437494745</v>
      </c>
      <c r="I4" s="1">
        <f>SIN(0.4*PI())</f>
        <v>0.95105651629515353</v>
      </c>
      <c r="J4" s="1">
        <f>SIN(0.5*PI())</f>
        <v>1</v>
      </c>
      <c r="K4" s="1">
        <f>SIN(0.6*PI())</f>
        <v>0.95105651629515364</v>
      </c>
      <c r="L4" s="1">
        <f>SIN(0.7*PI())</f>
        <v>0.80901699437494745</v>
      </c>
      <c r="M4" s="1">
        <f>SIN(0.8*PI())</f>
        <v>0.58778525229247325</v>
      </c>
      <c r="N4" s="1">
        <f>SIN(0.9*PI())</f>
        <v>0.30901699437494751</v>
      </c>
      <c r="O4" s="1">
        <v>0</v>
      </c>
    </row>
    <row r="5" spans="4:15" x14ac:dyDescent="0.55000000000000004">
      <c r="D5" s="1" t="s">
        <v>2</v>
      </c>
      <c r="E5" s="1">
        <f>SIN(2*(0*PI()))/(-2)</f>
        <v>0</v>
      </c>
      <c r="F5" s="1">
        <f>SIN(2*(0.1*PI()))/(-2)</f>
        <v>-0.29389262614623657</v>
      </c>
      <c r="G5" s="1">
        <f>SIN(2*(0.2*PI()))/(-2)</f>
        <v>-0.47552825814757677</v>
      </c>
      <c r="H5" s="1">
        <f>SIN(2*(0.3*PI()))/(-2)</f>
        <v>-0.47552825814757682</v>
      </c>
      <c r="I5" s="1">
        <f>SIN(2*(0.4*PI()))/(-2)</f>
        <v>-0.29389262614623662</v>
      </c>
      <c r="J5" s="1">
        <v>0</v>
      </c>
      <c r="K5" s="1">
        <f>SIN(2*(0.6*PI()))/(-2)</f>
        <v>0.29389262614623651</v>
      </c>
      <c r="L5" s="1">
        <f>SIN(2*(0.7*PI()))/(-2)</f>
        <v>0.47552825814757677</v>
      </c>
      <c r="M5" s="1">
        <f>SIN(2*(0.8*PI()))/(-2)</f>
        <v>0.47552825814757682</v>
      </c>
      <c r="N5" s="1">
        <f>SIN(2*(0.9*PI()))/(-2)</f>
        <v>0.29389262614623668</v>
      </c>
      <c r="O5" s="1">
        <v>0</v>
      </c>
    </row>
    <row r="6" spans="4:15" x14ac:dyDescent="0.55000000000000004">
      <c r="D6" s="1" t="s">
        <v>3</v>
      </c>
      <c r="E6" s="1">
        <f>SIN(3*(0*PI()))/3</f>
        <v>0</v>
      </c>
      <c r="F6" s="1">
        <f>SIN(3*(0.1*PI()))/3</f>
        <v>0.26967233145831582</v>
      </c>
      <c r="G6" s="1">
        <f>SIN(3*(0.2*PI()))/3</f>
        <v>0.31701883876505121</v>
      </c>
      <c r="H6" s="1">
        <f>SIN(3*(0.3*PI()))/3</f>
        <v>0.10300566479164917</v>
      </c>
      <c r="I6" s="1">
        <f>SIN(3*(0.4*PI()))/3</f>
        <v>-0.19592841743082434</v>
      </c>
      <c r="J6" s="1">
        <f>SIN(3*(0.5*PI()))/3</f>
        <v>-0.33333333333333331</v>
      </c>
      <c r="K6" s="1">
        <f>SIN(3*(0.6*PI()))/3</f>
        <v>-0.19592841743082445</v>
      </c>
      <c r="L6" s="1">
        <f>SIN(3*(0.7*PI()))/3</f>
        <v>0.10300566479164906</v>
      </c>
      <c r="M6" s="1">
        <f>SIN(3*(0.8*PI()))/3</f>
        <v>0.31701883876505116</v>
      </c>
      <c r="N6" s="1">
        <f>SIN(3*(0.9*PI()))/3</f>
        <v>0.26967233145831587</v>
      </c>
      <c r="O6" s="1">
        <v>0</v>
      </c>
    </row>
    <row r="7" spans="4:15" x14ac:dyDescent="0.55000000000000004">
      <c r="D7" s="1" t="s">
        <v>4</v>
      </c>
      <c r="E7" s="1">
        <f>SIN(4*(0*PI()))/(-4)</f>
        <v>0</v>
      </c>
      <c r="F7" s="1">
        <f>SIN(4*(0.1*PI()))/(-4)</f>
        <v>-0.23776412907378838</v>
      </c>
      <c r="G7" s="1">
        <f>SIN(4*(0.2*PI()))/(-4)</f>
        <v>-0.14694631307311831</v>
      </c>
      <c r="H7" s="1">
        <f>SIN(4*(0.3*PI()))/(-4)</f>
        <v>0.14694631307311826</v>
      </c>
      <c r="I7" s="1">
        <f>SIN(4*(0.4*PI()))/(-4)</f>
        <v>0.23776412907378841</v>
      </c>
      <c r="J7" s="1">
        <v>0</v>
      </c>
      <c r="K7" s="1">
        <f>SIN(4*(0.6*PI()))/(-4)</f>
        <v>-0.23776412907378838</v>
      </c>
      <c r="L7" s="1">
        <f>SIN(4*(0.7*PI()))/(-4)</f>
        <v>-0.14694631307311834</v>
      </c>
      <c r="M7" s="1">
        <f>SIN(4*(0.8*PI()))/(-4)</f>
        <v>0.1469463130731182</v>
      </c>
      <c r="N7" s="1">
        <f>SIN(4*(0.9*PI()))/(-4)</f>
        <v>0.23776412907378844</v>
      </c>
      <c r="O7" s="1">
        <v>0</v>
      </c>
    </row>
    <row r="8" spans="4:15" x14ac:dyDescent="0.55000000000000004">
      <c r="D8" s="1" t="s">
        <v>5</v>
      </c>
      <c r="E8" s="1">
        <f>SIN(5*(0*PI()))/5</f>
        <v>0</v>
      </c>
      <c r="F8" s="1">
        <f>SIN(5*(0.1*PI()))/5</f>
        <v>0.2</v>
      </c>
      <c r="G8" s="1">
        <v>0</v>
      </c>
      <c r="H8" s="1">
        <f>SIN(5*(0.3*PI()))/5</f>
        <v>-0.2</v>
      </c>
      <c r="I8" s="1">
        <v>0</v>
      </c>
      <c r="J8" s="1">
        <f>SIN(5*(0.5*PI()))/5</f>
        <v>0.2</v>
      </c>
      <c r="K8" s="1">
        <v>0</v>
      </c>
      <c r="L8" s="1">
        <f>SIN(5*(0.7*PI()))/5</f>
        <v>-0.2</v>
      </c>
      <c r="M8" s="1">
        <v>0</v>
      </c>
      <c r="N8" s="1">
        <f>SIN(5*(0.9*PI()))/5</f>
        <v>0.2</v>
      </c>
      <c r="O8" s="1">
        <v>0</v>
      </c>
    </row>
    <row r="9" spans="4:15" x14ac:dyDescent="0.55000000000000004">
      <c r="D9" s="1" t="s">
        <v>6</v>
      </c>
      <c r="E9" s="1">
        <f>SIN(6*(0*PI()))/(-6)</f>
        <v>0</v>
      </c>
      <c r="F9" s="1">
        <f>SIN(6*(0.1*PI()))/(-6)</f>
        <v>-0.15850941938252561</v>
      </c>
      <c r="G9" s="1">
        <f>SIN(6*(0.2*PI()))/(-6)</f>
        <v>9.7964208715412171E-2</v>
      </c>
      <c r="H9" s="1">
        <f>SIN(6*(0.3*PI()))/(-6)</f>
        <v>9.7964208715412227E-2</v>
      </c>
      <c r="I9" s="1">
        <f>SIN(6*(0.4*PI()))/(-6)</f>
        <v>-0.15850941938252558</v>
      </c>
      <c r="J9" s="1">
        <v>0</v>
      </c>
      <c r="K9" s="1">
        <f>SIN(6*(0.6*PI()))/(-6)</f>
        <v>0.15850941938252563</v>
      </c>
      <c r="L9" s="1">
        <f>SIN(6*(0.7*PI()))/(-6)</f>
        <v>-9.7964208715412116E-2</v>
      </c>
      <c r="M9" s="1">
        <f>SIN(6*(0.8*PI()))/(-6)</f>
        <v>-9.7964208715412268E-2</v>
      </c>
      <c r="N9" s="1">
        <f>SIN(6*(0.9*PI()))/(-6)</f>
        <v>0.15850941938252558</v>
      </c>
      <c r="O9" s="1">
        <v>0</v>
      </c>
    </row>
    <row r="10" spans="4:15" x14ac:dyDescent="0.55000000000000004">
      <c r="D10" s="1" t="s">
        <v>7</v>
      </c>
      <c r="E10" s="1">
        <f>SIN(7*(0*PI()))/7</f>
        <v>0</v>
      </c>
      <c r="F10" s="1">
        <f>SIN(7*(0.1*PI()))/7</f>
        <v>0.11557385633927821</v>
      </c>
      <c r="G10" s="1">
        <f>SIN(7*(0.2*PI()))/7</f>
        <v>-0.13586521661359335</v>
      </c>
      <c r="H10" s="1">
        <f>SIN(7*(0.3*PI()))/7</f>
        <v>4.4145284910706739E-2</v>
      </c>
      <c r="I10" s="1">
        <f>SIN(7*(0.4*PI()))/7</f>
        <v>8.3969321756067625E-2</v>
      </c>
      <c r="J10" s="1">
        <f>SIN(7*(0.5*PI()))/7</f>
        <v>-0.14285714285714285</v>
      </c>
      <c r="K10" s="1">
        <f>SIN(7*(0.6*PI()))/7</f>
        <v>8.3969321756067528E-2</v>
      </c>
      <c r="L10" s="1">
        <f>SIN(7*(0.7*PI()))/7</f>
        <v>4.4145284910706857E-2</v>
      </c>
      <c r="M10" s="1">
        <f>SIN(7*(0.8*PI()))/7</f>
        <v>-0.13586521661359338</v>
      </c>
      <c r="N10" s="1">
        <f>SIN(7*(0.9*PI()))/7</f>
        <v>0.11557385633927798</v>
      </c>
      <c r="O10" s="1">
        <v>0</v>
      </c>
    </row>
    <row r="11" spans="4:15" x14ac:dyDescent="0.55000000000000004">
      <c r="D11" s="1" t="s">
        <v>8</v>
      </c>
      <c r="E11" s="1">
        <f t="shared" ref="E11:N11" si="0">SUM(E4:E10)*2</f>
        <v>0</v>
      </c>
      <c r="F11" s="1">
        <f t="shared" si="0"/>
        <v>0.40819401513998177</v>
      </c>
      <c r="G11" s="1">
        <f t="shared" si="0"/>
        <v>0.48885702387729624</v>
      </c>
      <c r="H11" s="1">
        <f t="shared" si="0"/>
        <v>1.051100415436514</v>
      </c>
      <c r="I11" s="1">
        <f t="shared" si="0"/>
        <v>1.2489190083308461</v>
      </c>
      <c r="J11" s="1">
        <f t="shared" si="0"/>
        <v>1.4476190476190478</v>
      </c>
      <c r="K11" s="1">
        <f t="shared" si="0"/>
        <v>2.1074706741507407</v>
      </c>
      <c r="L11" s="1">
        <f t="shared" si="0"/>
        <v>1.9735713608726997</v>
      </c>
      <c r="M11" s="1">
        <f t="shared" si="0"/>
        <v>2.5868984738984278</v>
      </c>
      <c r="N11" s="1">
        <f t="shared" si="0"/>
        <v>3.168858713550184</v>
      </c>
      <c r="O11" s="1">
        <v>0</v>
      </c>
    </row>
  </sheetData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大友一樹</dc:creator>
  <cp:lastModifiedBy>大友一樹</cp:lastModifiedBy>
  <dcterms:created xsi:type="dcterms:W3CDTF">2020-05-08T13:50:12Z</dcterms:created>
  <dcterms:modified xsi:type="dcterms:W3CDTF">2020-05-14T04:51:45Z</dcterms:modified>
</cp:coreProperties>
</file>